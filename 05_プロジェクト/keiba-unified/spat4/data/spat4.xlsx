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bc3f246048098f33/デスクトップ/test/"/>
    </mc:Choice>
  </mc:AlternateContent>
  <xr:revisionPtr revIDLastSave="917" documentId="13_ncr:1_{A1870BFF-0543-491F-90B4-A756D4D7253C}" xr6:coauthVersionLast="47" xr6:coauthVersionMax="47" xr10:uidLastSave="{2100BEB6-73AF-45B8-A093-AE496C6617ED}"/>
  <bookViews>
    <workbookView xWindow="-98" yWindow="-98" windowWidth="21795" windowHeight="13875" xr2:uid="{00000000-000D-0000-FFFF-FFFF00000000}"/>
  </bookViews>
  <sheets>
    <sheet name="20252026" sheetId="4" r:id="rId1"/>
    <sheet name="Sheet2" sheetId="3" r:id="rId2"/>
  </sheets>
  <definedNames>
    <definedName name="_xlnm._FilterDatabase" localSheetId="0" hidden="1">'20252026'!$A$1:$T$313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9/lIPkSLoqODrgO6s9c50hbUOyZkC9LeK8mUwFxjFCA="/>
    </ext>
  </extLst>
</workbook>
</file>

<file path=xl/calcChain.xml><?xml version="1.0" encoding="utf-8"?>
<calcChain xmlns="http://schemas.openxmlformats.org/spreadsheetml/2006/main">
  <c r="F39" i="3" l="1"/>
  <c r="G24" i="4"/>
  <c r="G41" i="4"/>
  <c r="G282" i="4"/>
  <c r="G223" i="4"/>
  <c r="G63" i="4"/>
  <c r="G50" i="4"/>
  <c r="G112" i="4"/>
  <c r="G9" i="4"/>
  <c r="G272" i="4"/>
  <c r="G201" i="4"/>
  <c r="G195" i="4"/>
  <c r="G152" i="4"/>
  <c r="G224" i="4"/>
  <c r="G162" i="4"/>
  <c r="G141" i="4"/>
  <c r="G140" i="4"/>
  <c r="G128" i="4"/>
  <c r="G114" i="4"/>
  <c r="G31" i="4"/>
  <c r="G312" i="4"/>
  <c r="G309" i="4"/>
  <c r="G269" i="4"/>
  <c r="G251" i="4"/>
  <c r="G230" i="4"/>
  <c r="G122" i="4"/>
  <c r="G96" i="4"/>
  <c r="G72" i="4"/>
  <c r="G7" i="4"/>
  <c r="G144" i="4"/>
  <c r="G294" i="4"/>
  <c r="G217" i="4"/>
  <c r="G248" i="4"/>
  <c r="G228" i="4"/>
  <c r="G226" i="4"/>
  <c r="G221" i="4"/>
  <c r="G194" i="4"/>
  <c r="G186" i="4"/>
  <c r="G158" i="4"/>
  <c r="G153" i="4"/>
  <c r="G291" i="4"/>
  <c r="G133" i="4"/>
  <c r="G103" i="4"/>
  <c r="G73" i="4"/>
  <c r="G82" i="4"/>
  <c r="G93" i="4"/>
  <c r="G19" i="4"/>
  <c r="G3" i="4"/>
  <c r="G311" i="4"/>
  <c r="G46" i="4"/>
  <c r="G287" i="4"/>
  <c r="G276" i="4"/>
  <c r="G255" i="4"/>
  <c r="G249" i="4"/>
  <c r="G66" i="4"/>
  <c r="G117" i="4"/>
  <c r="G183" i="4"/>
  <c r="G52" i="4"/>
  <c r="G176" i="4"/>
  <c r="G165" i="4"/>
  <c r="G164" i="4"/>
  <c r="G163" i="4"/>
  <c r="G39" i="4"/>
  <c r="G155" i="4"/>
  <c r="G147" i="4"/>
  <c r="G74" i="4"/>
  <c r="G258" i="4"/>
  <c r="G108" i="4"/>
  <c r="G97" i="4"/>
  <c r="G78" i="4"/>
  <c r="G89" i="4"/>
  <c r="G13" i="4"/>
  <c r="G67" i="4"/>
  <c r="G61" i="4"/>
  <c r="G49" i="4"/>
  <c r="G43" i="4"/>
  <c r="G30" i="4"/>
  <c r="G14" i="4"/>
  <c r="I65" i="3"/>
  <c r="G200" i="4"/>
  <c r="G84" i="4"/>
  <c r="G301" i="4"/>
  <c r="G199" i="4"/>
  <c r="G99" i="4"/>
  <c r="G86" i="4"/>
  <c r="G105" i="4"/>
  <c r="G261" i="4"/>
  <c r="G190" i="4"/>
  <c r="G219" i="4"/>
  <c r="G154" i="4"/>
  <c r="G182" i="4"/>
  <c r="G252" i="4"/>
  <c r="G168" i="4"/>
  <c r="G111" i="4"/>
  <c r="G197" i="4"/>
  <c r="G25" i="4"/>
  <c r="G157" i="4"/>
  <c r="G33" i="4"/>
  <c r="G172" i="4"/>
  <c r="G15" i="4"/>
  <c r="G174" i="4"/>
  <c r="G55" i="4"/>
  <c r="G181" i="4"/>
  <c r="G236" i="4"/>
  <c r="G75" i="4"/>
  <c r="G23" i="4"/>
  <c r="H59" i="3"/>
  <c r="F40" i="4"/>
  <c r="G178" i="4"/>
  <c r="F178" i="4"/>
  <c r="G38" i="4"/>
  <c r="F38" i="4"/>
  <c r="G37" i="4"/>
  <c r="F37" i="4"/>
  <c r="G285" i="4"/>
  <c r="F285" i="4"/>
  <c r="G35" i="4"/>
  <c r="F35" i="4"/>
  <c r="G34" i="4"/>
  <c r="F34" i="4"/>
  <c r="F33" i="4"/>
  <c r="G32" i="4"/>
  <c r="F32" i="4"/>
  <c r="F31" i="4"/>
  <c r="F30" i="4"/>
  <c r="G29" i="4"/>
  <c r="F29" i="4"/>
  <c r="G36" i="4"/>
  <c r="F36" i="4"/>
  <c r="G27" i="4"/>
  <c r="F27" i="4"/>
  <c r="G26" i="4"/>
  <c r="F26" i="4"/>
  <c r="F222" i="4"/>
  <c r="F24" i="4"/>
  <c r="F200" i="4"/>
  <c r="F199" i="4"/>
  <c r="G21" i="4"/>
  <c r="F21" i="4"/>
  <c r="G20" i="4"/>
  <c r="F20" i="4"/>
  <c r="F19" i="4"/>
  <c r="G189" i="4"/>
  <c r="F189" i="4"/>
  <c r="G17" i="4"/>
  <c r="F17" i="4"/>
  <c r="G16" i="4"/>
  <c r="F16" i="4"/>
  <c r="G8" i="4"/>
  <c r="F8" i="4"/>
  <c r="F14" i="4"/>
  <c r="F157" i="4"/>
  <c r="G12" i="4"/>
  <c r="F12" i="4"/>
  <c r="G191" i="4"/>
  <c r="F191" i="4"/>
  <c r="G10" i="4"/>
  <c r="F10" i="4"/>
  <c r="F9" i="4"/>
  <c r="F190" i="4"/>
  <c r="F7" i="4"/>
  <c r="G6" i="4"/>
  <c r="F6" i="4"/>
  <c r="G5" i="4"/>
  <c r="F5" i="4"/>
  <c r="G69" i="4"/>
  <c r="F69" i="4"/>
  <c r="F3" i="4"/>
  <c r="G2" i="4"/>
  <c r="F2" i="4"/>
  <c r="F259" i="4"/>
  <c r="F192" i="4"/>
  <c r="F303" i="4"/>
  <c r="F64" i="4"/>
  <c r="F180" i="4"/>
  <c r="F136" i="4"/>
  <c r="F59" i="4"/>
  <c r="F276" i="4"/>
  <c r="F270" i="4"/>
  <c r="F263" i="4"/>
  <c r="F293" i="4"/>
  <c r="F82" i="4"/>
  <c r="F79" i="4"/>
  <c r="F56" i="4"/>
  <c r="F313" i="4"/>
  <c r="F310" i="4"/>
  <c r="F288" i="4"/>
  <c r="F255" i="4"/>
  <c r="F206" i="4"/>
  <c r="F185" i="4"/>
  <c r="F131" i="4"/>
  <c r="F118" i="4"/>
  <c r="F92" i="4"/>
  <c r="F71" i="4"/>
  <c r="F300" i="4"/>
  <c r="F283" i="4"/>
  <c r="F272" i="4"/>
  <c r="F269" i="4"/>
  <c r="F242" i="4"/>
  <c r="F153" i="4"/>
  <c r="F91" i="4"/>
  <c r="F84" i="4"/>
  <c r="F77" i="4"/>
  <c r="F49" i="4"/>
  <c r="F306" i="4"/>
  <c r="F279" i="4"/>
  <c r="F264" i="4"/>
  <c r="F159" i="4"/>
  <c r="F121" i="4"/>
  <c r="F90" i="4"/>
  <c r="F58" i="4"/>
  <c r="F286" i="4"/>
  <c r="F271" i="4"/>
  <c r="F250" i="4"/>
  <c r="F232" i="4"/>
  <c r="F227" i="4"/>
  <c r="F225" i="4"/>
  <c r="F208" i="4"/>
  <c r="F204" i="4"/>
  <c r="F281" i="4"/>
  <c r="F176" i="4"/>
  <c r="F87" i="4"/>
  <c r="F72" i="4"/>
  <c r="F305" i="4"/>
  <c r="F301" i="4"/>
  <c r="F298" i="4"/>
  <c r="F278" i="4"/>
  <c r="F297" i="4"/>
  <c r="F256" i="4"/>
  <c r="F246" i="4"/>
  <c r="F231" i="4"/>
  <c r="F216" i="4"/>
  <c r="F214" i="4"/>
  <c r="F213" i="4"/>
  <c r="F210" i="4"/>
  <c r="F205" i="4"/>
  <c r="F202" i="4"/>
  <c r="F173" i="4"/>
  <c r="F51" i="4"/>
  <c r="F161" i="4"/>
  <c r="F151" i="4"/>
  <c r="F139" i="4"/>
  <c r="F132" i="4"/>
  <c r="F116" i="4"/>
  <c r="F112" i="4"/>
  <c r="F103" i="4"/>
  <c r="F50" i="4"/>
  <c r="F223" i="4"/>
  <c r="F287" i="4"/>
  <c r="F267" i="4"/>
  <c r="F266" i="4"/>
  <c r="F123" i="4"/>
  <c r="F254" i="4"/>
  <c r="F239" i="4"/>
  <c r="F188" i="4"/>
  <c r="F135" i="4"/>
  <c r="F219" i="4"/>
  <c r="F203" i="4"/>
  <c r="F198" i="4"/>
  <c r="F299" i="4"/>
  <c r="F186" i="4"/>
  <c r="F158" i="4"/>
  <c r="F143" i="4"/>
  <c r="F125" i="4"/>
  <c r="F122" i="4"/>
  <c r="F115" i="4"/>
  <c r="F109" i="4"/>
  <c r="F238" i="4"/>
  <c r="F102" i="4"/>
  <c r="F101" i="4"/>
  <c r="F207" i="4"/>
  <c r="F86" i="4"/>
  <c r="F80" i="4"/>
  <c r="F22" i="4"/>
  <c r="F94" i="4"/>
  <c r="F61" i="4"/>
  <c r="F304" i="4"/>
  <c r="F47" i="4"/>
  <c r="F53" i="4"/>
  <c r="F45" i="4"/>
  <c r="F309" i="4"/>
  <c r="F99" i="4"/>
  <c r="F154" i="4"/>
  <c r="F294" i="4"/>
  <c r="F273" i="4"/>
  <c r="F137" i="4"/>
  <c r="F257" i="4"/>
  <c r="F230" i="4"/>
  <c r="F68" i="4"/>
  <c r="F265" i="4"/>
  <c r="F235" i="4"/>
  <c r="F226" i="4"/>
  <c r="F211" i="4"/>
  <c r="F88" i="4"/>
  <c r="F100" i="4"/>
  <c r="F156" i="4"/>
  <c r="F168" i="4"/>
  <c r="F165" i="4"/>
  <c r="F163" i="4"/>
  <c r="F292" i="4"/>
  <c r="F73" i="4"/>
  <c r="F155" i="4"/>
  <c r="F141" i="4"/>
  <c r="F140" i="4"/>
  <c r="F134" i="4"/>
  <c r="F247" i="4"/>
  <c r="F128" i="4"/>
  <c r="F124" i="4"/>
  <c r="F245" i="4"/>
  <c r="F111" i="4"/>
  <c r="F108" i="4"/>
  <c r="F113" i="4"/>
  <c r="F44" i="4"/>
  <c r="F78" i="4"/>
  <c r="F130" i="4"/>
  <c r="F67" i="4"/>
  <c r="F284" i="4"/>
  <c r="F57" i="4"/>
  <c r="F76" i="4"/>
  <c r="F311" i="4"/>
  <c r="F144" i="4"/>
  <c r="F307" i="4"/>
  <c r="F312" i="4"/>
  <c r="F295" i="4"/>
  <c r="F308" i="4"/>
  <c r="F46" i="4"/>
  <c r="F290" i="4"/>
  <c r="F187" i="4"/>
  <c r="F60" i="4"/>
  <c r="F28" i="4"/>
  <c r="F282" i="4"/>
  <c r="F280" i="4"/>
  <c r="F277" i="4"/>
  <c r="F177" i="4"/>
  <c r="F274" i="4"/>
  <c r="F268" i="4"/>
  <c r="F262" i="4"/>
  <c r="F126" i="4"/>
  <c r="F236" i="4"/>
  <c r="F251" i="4"/>
  <c r="F244" i="4"/>
  <c r="F228" i="4"/>
  <c r="F171" i="4"/>
  <c r="F169" i="4"/>
  <c r="F237" i="4"/>
  <c r="F66" i="4"/>
  <c r="F234" i="4"/>
  <c r="F233" i="4"/>
  <c r="F164" i="4"/>
  <c r="F224" i="4"/>
  <c r="F243" i="4"/>
  <c r="F221" i="4"/>
  <c r="F220" i="4"/>
  <c r="F218" i="4"/>
  <c r="F209" i="4"/>
  <c r="F201" i="4"/>
  <c r="F240" i="4"/>
  <c r="F196" i="4"/>
  <c r="F195" i="4"/>
  <c r="F193" i="4"/>
  <c r="F70" i="4"/>
  <c r="F275" i="4"/>
  <c r="F184" i="4"/>
  <c r="F183" i="4"/>
  <c r="F179" i="4"/>
  <c r="F175" i="4"/>
  <c r="F42" i="4"/>
  <c r="F172" i="4"/>
  <c r="F170" i="4"/>
  <c r="F167" i="4"/>
  <c r="F166" i="4"/>
  <c r="F119" i="4"/>
  <c r="F39" i="4"/>
  <c r="F289" i="4"/>
  <c r="F152" i="4"/>
  <c r="F150" i="4"/>
  <c r="F147" i="4"/>
  <c r="F145" i="4"/>
  <c r="F54" i="4"/>
  <c r="F138" i="4"/>
  <c r="F142" i="4"/>
  <c r="F129" i="4"/>
  <c r="F127" i="4"/>
  <c r="F120" i="4"/>
  <c r="F107" i="4"/>
  <c r="F114" i="4"/>
  <c r="F83" i="4"/>
  <c r="F260" i="4"/>
  <c r="F296" i="4"/>
  <c r="F98" i="4"/>
  <c r="F104" i="4"/>
  <c r="F174" i="4"/>
  <c r="F96" i="4"/>
  <c r="F95" i="4"/>
  <c r="F15" i="4"/>
  <c r="F253" i="4"/>
  <c r="F81" i="4"/>
  <c r="F241" i="4"/>
  <c r="F13" i="4"/>
  <c r="F65" i="4"/>
  <c r="F63" i="4"/>
  <c r="F62" i="4"/>
  <c r="F85" i="4"/>
  <c r="F18" i="4"/>
  <c r="F55" i="4"/>
  <c r="F11" i="4"/>
  <c r="F48" i="4"/>
  <c r="F93" i="4"/>
  <c r="F43" i="4"/>
  <c r="F106" i="4"/>
  <c r="F41" i="4"/>
  <c r="F4" i="4"/>
  <c r="F197" i="4"/>
  <c r="F25" i="4"/>
  <c r="F212" i="4"/>
  <c r="F182" i="4"/>
  <c r="F229" i="4"/>
  <c r="F215" i="4"/>
  <c r="F162" i="4"/>
  <c r="F160" i="4"/>
  <c r="F149" i="4"/>
  <c r="F291" i="4"/>
  <c r="F194" i="4"/>
  <c r="F249" i="4"/>
  <c r="F258" i="4"/>
  <c r="F252" i="4"/>
  <c r="F302" i="4"/>
  <c r="F248" i="4"/>
  <c r="F75" i="4"/>
  <c r="F133" i="4"/>
  <c r="F217" i="4"/>
  <c r="F105" i="4"/>
  <c r="F117" i="4"/>
  <c r="F97" i="4"/>
  <c r="F148" i="4"/>
  <c r="F261" i="4"/>
  <c r="F89" i="4"/>
  <c r="F23" i="4"/>
  <c r="F74" i="4"/>
  <c r="F181" i="4"/>
  <c r="F52" i="4"/>
  <c r="F146" i="4"/>
  <c r="F110" i="4"/>
  <c r="T42" i="3"/>
  <c r="W44" i="3"/>
  <c r="S44" i="3"/>
  <c r="J44" i="3"/>
  <c r="R44" i="3"/>
  <c r="V37" i="3"/>
  <c r="T44" i="3"/>
  <c r="X44" i="3" s="1"/>
  <c r="U43" i="3"/>
  <c r="V43" i="3" s="1"/>
  <c r="T43" i="3"/>
  <c r="X43" i="3" s="1"/>
  <c r="Y43" i="3" s="1"/>
  <c r="U42" i="3"/>
  <c r="V42" i="3" s="1"/>
  <c r="X42" i="3"/>
  <c r="U41" i="3"/>
  <c r="V41" i="3" s="1"/>
  <c r="T41" i="3"/>
  <c r="X41" i="3" s="1"/>
  <c r="Y41" i="3" s="1"/>
  <c r="U40" i="3"/>
  <c r="V40" i="3" s="1"/>
  <c r="T40" i="3"/>
  <c r="X40" i="3" s="1"/>
  <c r="U39" i="3"/>
  <c r="V39" i="3" s="1"/>
  <c r="T39" i="3"/>
  <c r="X39" i="3" s="1"/>
  <c r="Y39" i="3" s="1"/>
  <c r="U38" i="3"/>
  <c r="V38" i="3" s="1"/>
  <c r="T38" i="3"/>
  <c r="X38" i="3" s="1"/>
  <c r="Y38" i="3" s="1"/>
  <c r="U37" i="3"/>
  <c r="T37" i="3"/>
  <c r="X37" i="3" s="1"/>
  <c r="U36" i="3"/>
  <c r="V36" i="3" s="1"/>
  <c r="T36" i="3"/>
  <c r="X36" i="3" s="1"/>
  <c r="Y36" i="3" s="1"/>
  <c r="I44" i="3"/>
  <c r="L38" i="3"/>
  <c r="M38" i="3" s="1"/>
  <c r="K38" i="3"/>
  <c r="O38" i="3" s="1"/>
  <c r="P38" i="3" s="1"/>
  <c r="L37" i="3"/>
  <c r="M37" i="3" s="1"/>
  <c r="K37" i="3"/>
  <c r="L36" i="3"/>
  <c r="M36" i="3" s="1"/>
  <c r="K36" i="3"/>
  <c r="O36" i="3" s="1"/>
  <c r="P36" i="3" s="1"/>
  <c r="G44" i="3"/>
  <c r="F44" i="3"/>
  <c r="U44" i="3" s="1"/>
  <c r="V44" i="3" s="1"/>
  <c r="U17" i="3"/>
  <c r="V17" i="3" s="1"/>
  <c r="T17" i="3"/>
  <c r="X17" i="3" s="1"/>
  <c r="Y17" i="3" s="1"/>
  <c r="U12" i="3"/>
  <c r="V12" i="3" s="1"/>
  <c r="U13" i="3"/>
  <c r="V13" i="3" s="1"/>
  <c r="T12" i="3"/>
  <c r="X12" i="3" s="1"/>
  <c r="Y12" i="3" s="1"/>
  <c r="T13" i="3"/>
  <c r="X13" i="3" s="1"/>
  <c r="Y13" i="3" s="1"/>
  <c r="K12" i="3"/>
  <c r="O12" i="3" s="1"/>
  <c r="P12" i="3" s="1"/>
  <c r="L12" i="3"/>
  <c r="M12" i="3" s="1"/>
  <c r="K13" i="3"/>
  <c r="O13" i="3" s="1"/>
  <c r="L13" i="3"/>
  <c r="M13" i="3"/>
  <c r="K17" i="3"/>
  <c r="O17" i="3" s="1"/>
  <c r="P17" i="3" s="1"/>
  <c r="L17" i="3"/>
  <c r="M17" i="3"/>
  <c r="I18" i="3"/>
  <c r="J18" i="3"/>
  <c r="L16" i="3"/>
  <c r="M16" i="3" s="1"/>
  <c r="L15" i="3"/>
  <c r="M15" i="3" s="1"/>
  <c r="L14" i="3"/>
  <c r="E18" i="3"/>
  <c r="S18" i="3"/>
  <c r="R18" i="3"/>
  <c r="H18" i="3"/>
  <c r="U16" i="3"/>
  <c r="V16" i="3" s="1"/>
  <c r="T16" i="3"/>
  <c r="X16" i="3" s="1"/>
  <c r="K16" i="3"/>
  <c r="O16" i="3" s="1"/>
  <c r="U15" i="3"/>
  <c r="V15" i="3" s="1"/>
  <c r="T15" i="3"/>
  <c r="X15" i="3" s="1"/>
  <c r="Y15" i="3" s="1"/>
  <c r="K15" i="3"/>
  <c r="O15" i="3" s="1"/>
  <c r="U14" i="3"/>
  <c r="T14" i="3"/>
  <c r="X14" i="3" s="1"/>
  <c r="Y14" i="3" s="1"/>
  <c r="M14" i="3"/>
  <c r="K14" i="3"/>
  <c r="O14" i="3" s="1"/>
  <c r="G8" i="3"/>
  <c r="G4" i="3"/>
  <c r="G10" i="3" s="1"/>
  <c r="H10" i="3" s="1"/>
  <c r="K44" i="3" l="1"/>
  <c r="O44" i="3" s="1"/>
  <c r="Y37" i="3"/>
  <c r="P37" i="3"/>
  <c r="L44" i="3"/>
  <c r="M44" i="3" s="1"/>
  <c r="Y44" i="3"/>
  <c r="Y40" i="3"/>
  <c r="Y42" i="3"/>
  <c r="Y16" i="3"/>
  <c r="P13" i="3"/>
  <c r="P16" i="3"/>
  <c r="P14" i="3"/>
  <c r="U18" i="3"/>
  <c r="V18" i="3" s="1"/>
  <c r="V14" i="3"/>
  <c r="P15" i="3"/>
  <c r="L18" i="3"/>
  <c r="K18" i="3"/>
  <c r="O18" i="3" s="1"/>
  <c r="P18" i="3" s="1"/>
  <c r="M18" i="3"/>
  <c r="T18" i="3"/>
  <c r="X18" i="3" s="1"/>
  <c r="P44" i="3" l="1"/>
  <c r="Y18" i="3"/>
</calcChain>
</file>

<file path=xl/sharedStrings.xml><?xml version="1.0" encoding="utf-8"?>
<sst xmlns="http://schemas.openxmlformats.org/spreadsheetml/2006/main" count="2049" uniqueCount="505">
  <si>
    <t>No</t>
  </si>
  <si>
    <t>フラグ</t>
  </si>
  <si>
    <t>日時</t>
  </si>
  <si>
    <t>競馬場</t>
  </si>
  <si>
    <t>開催日</t>
  </si>
  <si>
    <t>人気合計</t>
  </si>
  <si>
    <t>レース</t>
  </si>
  <si>
    <t>1着人気</t>
  </si>
  <si>
    <t>2着人気</t>
  </si>
  <si>
    <t>キャリーオーバー発声中</t>
  </si>
  <si>
    <t>的中口数</t>
  </si>
  <si>
    <t>的中金額</t>
  </si>
  <si>
    <t>キャリーオーバー</t>
  </si>
  <si>
    <t>7月17日(木)</t>
  </si>
  <si>
    <t>第7回6日目</t>
  </si>
  <si>
    <t>10R</t>
  </si>
  <si>
    <t>11R</t>
  </si>
  <si>
    <t>12R</t>
  </si>
  <si>
    <t>7月1日(火)</t>
  </si>
  <si>
    <t>第6回4日目</t>
  </si>
  <si>
    <t>10月15日(水)</t>
  </si>
  <si>
    <t>第14回2日目</t>
  </si>
  <si>
    <t>4月17日(木)</t>
  </si>
  <si>
    <t>第1回2日目</t>
  </si>
  <si>
    <t>6月26日(木)</t>
  </si>
  <si>
    <t>浦和</t>
  </si>
  <si>
    <t>第3回4日目</t>
  </si>
  <si>
    <t>11月4日(火)</t>
  </si>
  <si>
    <t>船橋</t>
  </si>
  <si>
    <t>第8回2日目</t>
  </si>
  <si>
    <t>9月29日(月)</t>
  </si>
  <si>
    <t>第7回1日目</t>
  </si>
  <si>
    <t>10月6日(月)</t>
  </si>
  <si>
    <t>大井</t>
  </si>
  <si>
    <t>第10回2日目</t>
  </si>
  <si>
    <t>8R</t>
  </si>
  <si>
    <t>9R</t>
  </si>
  <si>
    <t>7月30日(水)</t>
  </si>
  <si>
    <t>第5回3日目</t>
  </si>
  <si>
    <t>10月28日(火)</t>
  </si>
  <si>
    <t>第15回1日目</t>
  </si>
  <si>
    <t>12月31日(水)</t>
  </si>
  <si>
    <t>第14回6日目</t>
  </si>
  <si>
    <t>12月30日(火)</t>
  </si>
  <si>
    <t>第14回5日目</t>
  </si>
  <si>
    <t>12月29日(月)</t>
  </si>
  <si>
    <t>第14回4日目</t>
  </si>
  <si>
    <t>12月26日(金)</t>
  </si>
  <si>
    <t>第14回3日目</t>
  </si>
  <si>
    <t>12月25日(木)</t>
  </si>
  <si>
    <t>第9回4日目</t>
  </si>
  <si>
    <t>12月24日(水)</t>
  </si>
  <si>
    <t>第9回3日目</t>
  </si>
  <si>
    <t>第14回1日目</t>
  </si>
  <si>
    <t>12月23日(火)</t>
  </si>
  <si>
    <t>第9回2日目</t>
  </si>
  <si>
    <t>12月22日(月)</t>
  </si>
  <si>
    <t>第9回1日目</t>
  </si>
  <si>
    <t>12月19日(金)</t>
  </si>
  <si>
    <t>川崎</t>
  </si>
  <si>
    <t>第10回5日目</t>
  </si>
  <si>
    <t>12月18日(木)</t>
  </si>
  <si>
    <t>第10回4日目</t>
  </si>
  <si>
    <t>12月17日(水)</t>
  </si>
  <si>
    <t>第10回3日目</t>
  </si>
  <si>
    <t>12月16日(火)</t>
  </si>
  <si>
    <t>12月15日(月)</t>
  </si>
  <si>
    <t>第10回1日目</t>
  </si>
  <si>
    <t>12月12日(金)</t>
  </si>
  <si>
    <t>第9回5日目</t>
  </si>
  <si>
    <t>12月11日(木)</t>
  </si>
  <si>
    <t>12月10日(水)</t>
  </si>
  <si>
    <t>12月9日(火)</t>
  </si>
  <si>
    <t>12月8日(月)</t>
  </si>
  <si>
    <t>12月5日(金)</t>
  </si>
  <si>
    <t>第13回5日目</t>
  </si>
  <si>
    <t>12月4日(木)</t>
  </si>
  <si>
    <t>第13回4日目</t>
  </si>
  <si>
    <t>12月3日(水)</t>
  </si>
  <si>
    <t>第13回3日目</t>
  </si>
  <si>
    <t>12月2日(火)</t>
  </si>
  <si>
    <t>第13回2日目</t>
  </si>
  <si>
    <t>12月1日(月)</t>
  </si>
  <si>
    <t>第13回1日目</t>
  </si>
  <si>
    <t>11月28日(金)</t>
  </si>
  <si>
    <t>第8回4日目</t>
  </si>
  <si>
    <t>11月27日(木)</t>
  </si>
  <si>
    <t>第8回3日目</t>
  </si>
  <si>
    <t>11月26日(水)</t>
  </si>
  <si>
    <t>11月25日(火)</t>
  </si>
  <si>
    <t>第8回1日目</t>
  </si>
  <si>
    <t>11月21日(金)</t>
  </si>
  <si>
    <t>11月20日(木)</t>
  </si>
  <si>
    <t>11月19日(水)</t>
  </si>
  <si>
    <t>11月18日(火)</t>
  </si>
  <si>
    <t>11月17日(月)</t>
  </si>
  <si>
    <t>11月14日(金)</t>
  </si>
  <si>
    <t>第12回5日目</t>
  </si>
  <si>
    <t>11月13日(木)</t>
  </si>
  <si>
    <t>第12回4日目</t>
  </si>
  <si>
    <t>第16回3日目</t>
  </si>
  <si>
    <t>11月12日(水)</t>
  </si>
  <si>
    <t>第12回3日目</t>
  </si>
  <si>
    <t>第16回2日目</t>
  </si>
  <si>
    <t>11月11日(火)</t>
  </si>
  <si>
    <t>第12回2日目</t>
  </si>
  <si>
    <t>第16回1日目</t>
  </si>
  <si>
    <t>11月10日(月)</t>
  </si>
  <si>
    <t>第12回1日目</t>
  </si>
  <si>
    <t>11月7日(金)</t>
  </si>
  <si>
    <t>第8回5日目</t>
  </si>
  <si>
    <t>11月6日(木)</t>
  </si>
  <si>
    <t>11月5日(水)</t>
  </si>
  <si>
    <t>第15回5日目</t>
  </si>
  <si>
    <t>11月3日(月)</t>
  </si>
  <si>
    <t>第15回4日目</t>
  </si>
  <si>
    <t>10月31日(金)</t>
  </si>
  <si>
    <t>第7回5日目</t>
  </si>
  <si>
    <t>10月30日(木)</t>
  </si>
  <si>
    <t>第7回4日目</t>
  </si>
  <si>
    <t>第15回3日目</t>
  </si>
  <si>
    <t>10月29日(水)</t>
  </si>
  <si>
    <t>第7回3日目</t>
  </si>
  <si>
    <t>第15回2日目</t>
  </si>
  <si>
    <t>第7回2日目</t>
  </si>
  <si>
    <t>10月27日(月)</t>
  </si>
  <si>
    <t>10月24日(金)</t>
  </si>
  <si>
    <t>第11回5日目</t>
  </si>
  <si>
    <t>10月23日(木)</t>
  </si>
  <si>
    <t>第11回4日目</t>
  </si>
  <si>
    <t>10月22日(水)</t>
  </si>
  <si>
    <t>第11回3日目</t>
  </si>
  <si>
    <t>10月21日(火)</t>
  </si>
  <si>
    <t>第11回2日目</t>
  </si>
  <si>
    <t>10月20日(月)</t>
  </si>
  <si>
    <t>第11回1日目</t>
  </si>
  <si>
    <t>10月17日(金)</t>
  </si>
  <si>
    <t>10月16日(木)</t>
  </si>
  <si>
    <t>10月14日(火)</t>
  </si>
  <si>
    <t>10月13日(月)</t>
  </si>
  <si>
    <t>10月10日(金)</t>
  </si>
  <si>
    <t>第10回6日目</t>
  </si>
  <si>
    <t>10月9日(木)</t>
  </si>
  <si>
    <t>10月8日(水)</t>
  </si>
  <si>
    <t>10月7日(火)</t>
  </si>
  <si>
    <t>10月5日(日)</t>
  </si>
  <si>
    <t>6R</t>
  </si>
  <si>
    <t>7R</t>
  </si>
  <si>
    <t>10月3日(金)</t>
  </si>
  <si>
    <t>10月2日(木)</t>
  </si>
  <si>
    <t>10月1日(水)</t>
  </si>
  <si>
    <t>9月30日(火)</t>
  </si>
  <si>
    <t>9月26日(金)</t>
  </si>
  <si>
    <t>第6回5日目</t>
  </si>
  <si>
    <t>9月25日(木)</t>
  </si>
  <si>
    <t>9月24日(水)</t>
  </si>
  <si>
    <t>第6回3日目</t>
  </si>
  <si>
    <t>9月23日(火)</t>
  </si>
  <si>
    <t>第6回2日目</t>
  </si>
  <si>
    <t>9月22日(月)</t>
  </si>
  <si>
    <t>第6回1日目</t>
  </si>
  <si>
    <t>9月19日(金)</t>
  </si>
  <si>
    <t>9月18日(木)</t>
  </si>
  <si>
    <t>9月17日(水)</t>
  </si>
  <si>
    <t>9月16日(火)</t>
  </si>
  <si>
    <t>9月15日(月)</t>
  </si>
  <si>
    <t>9月12日(金)</t>
  </si>
  <si>
    <t>9月10日(水)</t>
  </si>
  <si>
    <t>9月9日(火)</t>
  </si>
  <si>
    <t>9月8日(月)</t>
  </si>
  <si>
    <t>9月5日(金)</t>
  </si>
  <si>
    <t>9月4日(木)</t>
  </si>
  <si>
    <t>9月3日(水)</t>
  </si>
  <si>
    <t>9月2日(火)</t>
  </si>
  <si>
    <t>9月1日(月)</t>
  </si>
  <si>
    <t>8月31日(日)</t>
  </si>
  <si>
    <t>8月29日(金)</t>
  </si>
  <si>
    <t>8月28日(木)</t>
  </si>
  <si>
    <t>8月27日(水)</t>
  </si>
  <si>
    <t>8月26日(火)</t>
  </si>
  <si>
    <t>8月25日(月)</t>
  </si>
  <si>
    <t>8月22日(金)</t>
  </si>
  <si>
    <t>8月21日(木)</t>
  </si>
  <si>
    <t>8月20日(水)</t>
  </si>
  <si>
    <t>第5回4日目</t>
  </si>
  <si>
    <t>8月19日(火)</t>
  </si>
  <si>
    <t>8月18日(月)同着あり</t>
  </si>
  <si>
    <t>第5回2日目</t>
  </si>
  <si>
    <t>11R同着</t>
  </si>
  <si>
    <t>8月15日(金)</t>
  </si>
  <si>
    <t>第5回1日目</t>
  </si>
  <si>
    <t>8月14日(木)</t>
  </si>
  <si>
    <t>8月13日(水)</t>
  </si>
  <si>
    <t>8月12日(火)</t>
  </si>
  <si>
    <t>8月11日(月)</t>
  </si>
  <si>
    <t>8月10日(日)</t>
  </si>
  <si>
    <t>8月8日(金)</t>
  </si>
  <si>
    <t>第5回5日目</t>
  </si>
  <si>
    <t>8月7日(木)</t>
  </si>
  <si>
    <t>8月6日(水)</t>
  </si>
  <si>
    <t>8月5日(火)</t>
  </si>
  <si>
    <t>8月4日(月)</t>
  </si>
  <si>
    <t>8月1日(金)</t>
  </si>
  <si>
    <t>7月31日(木)</t>
  </si>
  <si>
    <t>7月29日(火)</t>
  </si>
  <si>
    <t>7月28日(月)</t>
  </si>
  <si>
    <t>7月25日(金)</t>
  </si>
  <si>
    <t>第4回5日目</t>
  </si>
  <si>
    <t>7月24日(木)</t>
  </si>
  <si>
    <t>第4回4日目</t>
  </si>
  <si>
    <t>7月23日(水)</t>
  </si>
  <si>
    <t>第4回3日目</t>
  </si>
  <si>
    <t>7月22日(火)</t>
  </si>
  <si>
    <t>第4回2日目</t>
  </si>
  <si>
    <t>7月21日(月)</t>
  </si>
  <si>
    <t>第4回1日目</t>
  </si>
  <si>
    <t>7月18日(金)</t>
  </si>
  <si>
    <t>7月16日(水)</t>
  </si>
  <si>
    <t>7月15日(火)</t>
  </si>
  <si>
    <t>7月14日(月)</t>
  </si>
  <si>
    <t>7月11日(金)</t>
  </si>
  <si>
    <t>7月9日(水)</t>
  </si>
  <si>
    <t>7月8日(火)</t>
  </si>
  <si>
    <t>7月7日(月)</t>
  </si>
  <si>
    <t>7月6日(日)</t>
  </si>
  <si>
    <t>7月5日(土)</t>
  </si>
  <si>
    <t>7月4日(金)</t>
  </si>
  <si>
    <t>7月3日(木)</t>
  </si>
  <si>
    <t>7月2日(水)</t>
  </si>
  <si>
    <t>6月30日(月)</t>
  </si>
  <si>
    <t>6月27日(金)</t>
  </si>
  <si>
    <t>第3回5日目</t>
  </si>
  <si>
    <t>6月25日(水)</t>
  </si>
  <si>
    <t>第3回3日目</t>
  </si>
  <si>
    <t>6月24日(火)</t>
  </si>
  <si>
    <t>第3回2日目</t>
  </si>
  <si>
    <t>6月23日(月)</t>
  </si>
  <si>
    <t>第3回1日目</t>
  </si>
  <si>
    <t>6月20日(金)</t>
  </si>
  <si>
    <t>6月19日(木)</t>
  </si>
  <si>
    <t>6月18日(水)</t>
  </si>
  <si>
    <t>6月17日(火)</t>
  </si>
  <si>
    <t>6月16日(月)</t>
  </si>
  <si>
    <t>6月13日(金)</t>
  </si>
  <si>
    <t>6月12日(木)</t>
  </si>
  <si>
    <t>6月11日(水)</t>
  </si>
  <si>
    <t>6月10日(火)</t>
  </si>
  <si>
    <t>6月9日(月)</t>
  </si>
  <si>
    <t>6月6日(金)</t>
  </si>
  <si>
    <t>6月5日(木)</t>
  </si>
  <si>
    <t>6月4日(水)</t>
  </si>
  <si>
    <t>6月3日(火)</t>
  </si>
  <si>
    <t>6月2日(月)</t>
  </si>
  <si>
    <t>5月30日(金)</t>
  </si>
  <si>
    <t>第2回5日目</t>
  </si>
  <si>
    <t>5月29日(木)</t>
  </si>
  <si>
    <t>第2回4日目</t>
  </si>
  <si>
    <t>5月28日(水)</t>
  </si>
  <si>
    <t>第2回3日目</t>
  </si>
  <si>
    <t>5月27日(火)</t>
  </si>
  <si>
    <t>第2回2日目</t>
  </si>
  <si>
    <t>5月26日(月)</t>
  </si>
  <si>
    <t>第2回1日目</t>
  </si>
  <si>
    <t>5月23日(金)</t>
  </si>
  <si>
    <t>5月22日(木)</t>
  </si>
  <si>
    <t>5月21日(水)</t>
  </si>
  <si>
    <t>5月20日(火)</t>
  </si>
  <si>
    <t>5月19日(月)</t>
  </si>
  <si>
    <t>5月16日(金)</t>
  </si>
  <si>
    <t>5月15日(木)</t>
  </si>
  <si>
    <t>5月14日(水)</t>
  </si>
  <si>
    <t>5月13日(火)</t>
  </si>
  <si>
    <t>5月12日(月)</t>
  </si>
  <si>
    <t>5月9日(金)</t>
  </si>
  <si>
    <t>5月8日(木)</t>
  </si>
  <si>
    <t>5月7日(水)</t>
  </si>
  <si>
    <t>5月6日(火)</t>
  </si>
  <si>
    <t>5月5日(月)</t>
  </si>
  <si>
    <t>5月2日(金)</t>
  </si>
  <si>
    <t>5月1日(木)</t>
  </si>
  <si>
    <t>4月30日(水)</t>
  </si>
  <si>
    <t>4月29日(火)</t>
  </si>
  <si>
    <t>4月28日(月)</t>
  </si>
  <si>
    <t>4月25日(金)</t>
  </si>
  <si>
    <t>第1回5日目</t>
  </si>
  <si>
    <t>4月24日(木)</t>
  </si>
  <si>
    <t>第1回4日目</t>
  </si>
  <si>
    <t>4月23日(水)</t>
  </si>
  <si>
    <t>第1回3日目</t>
  </si>
  <si>
    <t>4月22日(火)</t>
  </si>
  <si>
    <t>4月21日(月)</t>
  </si>
  <si>
    <t>第1回1日目</t>
  </si>
  <si>
    <t>4月18日(金)</t>
  </si>
  <si>
    <t>4月16日(水)</t>
  </si>
  <si>
    <t>4月15日(火)</t>
  </si>
  <si>
    <t>4月14日(月)</t>
  </si>
  <si>
    <t>4月10日(木)</t>
  </si>
  <si>
    <t>4月9日(水)</t>
  </si>
  <si>
    <t>4月8日(火)</t>
  </si>
  <si>
    <t>4月7日(月)</t>
  </si>
  <si>
    <t>4月4日(金)</t>
  </si>
  <si>
    <t>4月3日(木)</t>
  </si>
  <si>
    <t>4月2日(水)</t>
  </si>
  <si>
    <t>4月1日(火)</t>
  </si>
  <si>
    <t>3月31日(月)</t>
  </si>
  <si>
    <t>3月28日(金)</t>
  </si>
  <si>
    <t>第19回5日目</t>
  </si>
  <si>
    <t>3月27日(木)</t>
  </si>
  <si>
    <t>第19回4日目</t>
  </si>
  <si>
    <t>3月26日(水)</t>
  </si>
  <si>
    <t>第19回3日目</t>
  </si>
  <si>
    <t>3月25日(火)</t>
  </si>
  <si>
    <t>第19回2日目</t>
  </si>
  <si>
    <t>3月24日(月)</t>
  </si>
  <si>
    <t>第19回1日目</t>
  </si>
  <si>
    <t>3月21日(金)</t>
  </si>
  <si>
    <t>3月20日(木)</t>
  </si>
  <si>
    <t>3月18日(火)</t>
  </si>
  <si>
    <t>3月17日(月)</t>
  </si>
  <si>
    <t>3月14日(金)</t>
  </si>
  <si>
    <t>第18回5日目</t>
  </si>
  <si>
    <t>3月13日(木)</t>
  </si>
  <si>
    <t>第18回4日目</t>
  </si>
  <si>
    <t>3月12日(水)</t>
  </si>
  <si>
    <t>第18回3日目</t>
  </si>
  <si>
    <t>3月11日(火)</t>
  </si>
  <si>
    <t>第18回2日目</t>
  </si>
  <si>
    <t>3月10日(月)</t>
  </si>
  <si>
    <t>第18回1日目</t>
  </si>
  <si>
    <t>3月7日(金)</t>
  </si>
  <si>
    <t>3月6日(木)</t>
  </si>
  <si>
    <t>3月5日(水)</t>
  </si>
  <si>
    <t>3月4日(火)</t>
  </si>
  <si>
    <t>3月3日(月)</t>
  </si>
  <si>
    <t>2月28日(金)</t>
  </si>
  <si>
    <t>2月27日(木)</t>
  </si>
  <si>
    <t>2月26日(水)</t>
  </si>
  <si>
    <t>2月25日(火)</t>
  </si>
  <si>
    <t>2月24日(月)</t>
  </si>
  <si>
    <t>2月21日(金)</t>
  </si>
  <si>
    <t>第17回5日目</t>
  </si>
  <si>
    <t>2月20日(木)</t>
  </si>
  <si>
    <t>第17回4日目</t>
  </si>
  <si>
    <t>2月19日(水)</t>
  </si>
  <si>
    <t>第17回3日目</t>
  </si>
  <si>
    <t>2月18日(火)</t>
  </si>
  <si>
    <t>第17回2日目</t>
  </si>
  <si>
    <t>2月17日(月)</t>
  </si>
  <si>
    <t>第17回1日目</t>
  </si>
  <si>
    <t>2月14日(金)</t>
  </si>
  <si>
    <t>2月13日(木)</t>
  </si>
  <si>
    <t>2月12日(水)</t>
  </si>
  <si>
    <t>2月11日(火)</t>
  </si>
  <si>
    <t>2月10日(月)</t>
  </si>
  <si>
    <t>2月8日(土)</t>
  </si>
  <si>
    <t>2月7日(金)</t>
  </si>
  <si>
    <t>2月6日(木)</t>
  </si>
  <si>
    <t>2月5日(水)</t>
  </si>
  <si>
    <t>2月4日(火)</t>
  </si>
  <si>
    <t>1月31日(金)</t>
  </si>
  <si>
    <t>第16回5日目</t>
  </si>
  <si>
    <t>1月30日(木)</t>
  </si>
  <si>
    <t>第16回4日目</t>
  </si>
  <si>
    <t>1月29日(水)</t>
  </si>
  <si>
    <t>1月28日(火)</t>
  </si>
  <si>
    <t>1月27日(月)</t>
  </si>
  <si>
    <t>1月24日(金)</t>
  </si>
  <si>
    <t>1月23日(木)</t>
  </si>
  <si>
    <t>1月22日(水)</t>
  </si>
  <si>
    <t>1月21日(火)</t>
  </si>
  <si>
    <t>1月20日(月)</t>
  </si>
  <si>
    <t>1月17日(金)</t>
  </si>
  <si>
    <t>1月16日(木)</t>
  </si>
  <si>
    <t>1月15日(水)</t>
  </si>
  <si>
    <t>1月14日(火)</t>
  </si>
  <si>
    <t>1月13日(月)</t>
  </si>
  <si>
    <t>1月10日(金)</t>
  </si>
  <si>
    <t>1月9日(木)</t>
  </si>
  <si>
    <t>1月8日(水)</t>
  </si>
  <si>
    <t>1月7日(火)</t>
  </si>
  <si>
    <t>1月4日(土)</t>
  </si>
  <si>
    <t>1月3日(金)</t>
  </si>
  <si>
    <t>1月2日(木)</t>
  </si>
  <si>
    <t>1月1日(水)</t>
  </si>
  <si>
    <t>2月18日(水)</t>
  </si>
  <si>
    <t>3018口</t>
  </si>
  <si>
    <t>1月9日(金)</t>
  </si>
  <si>
    <t>1,284口</t>
  </si>
  <si>
    <t>1月26日(月)</t>
  </si>
  <si>
    <t>1,017口</t>
  </si>
  <si>
    <t>2月6日(金)</t>
  </si>
  <si>
    <t>1,175口</t>
  </si>
  <si>
    <t>1月29日(木)</t>
  </si>
  <si>
    <t>377口</t>
  </si>
  <si>
    <t>2月4日(水)</t>
  </si>
  <si>
    <t xml:space="preserve">第12回3日目 </t>
  </si>
  <si>
    <t>1,400口</t>
  </si>
  <si>
    <t>1月4日(日)</t>
  </si>
  <si>
    <t>195口</t>
  </si>
  <si>
    <t>1月28日(水)</t>
  </si>
  <si>
    <t xml:space="preserve">第16回3日目 </t>
  </si>
  <si>
    <t>175口</t>
  </si>
  <si>
    <t>1月14日(水)</t>
  </si>
  <si>
    <t>125口</t>
  </si>
  <si>
    <t>1月13日(火)</t>
  </si>
  <si>
    <t>696口</t>
  </si>
  <si>
    <t>2月5日(木)</t>
  </si>
  <si>
    <t>150口</t>
  </si>
  <si>
    <t>1月6日(火)</t>
  </si>
  <si>
    <t>90口</t>
  </si>
  <si>
    <t>2月2日(月)</t>
  </si>
  <si>
    <t>75口</t>
  </si>
  <si>
    <t>1月2日(金)</t>
  </si>
  <si>
    <t>25口</t>
  </si>
  <si>
    <t>2月16日(月)</t>
  </si>
  <si>
    <t>95口</t>
  </si>
  <si>
    <t>2月13日(金)</t>
  </si>
  <si>
    <t>248口</t>
  </si>
  <si>
    <t>1月19日(月)</t>
  </si>
  <si>
    <t>10口</t>
  </si>
  <si>
    <t>1月21日(水)</t>
  </si>
  <si>
    <t xml:space="preserve">第10回3日目 </t>
  </si>
  <si>
    <t>2月17日(火)</t>
  </si>
  <si>
    <t>5口</t>
  </si>
  <si>
    <t>1月22日(木)</t>
  </si>
  <si>
    <t xml:space="preserve">第10回4日目 </t>
  </si>
  <si>
    <t>0口</t>
  </si>
  <si>
    <t>1月16日(金)</t>
  </si>
  <si>
    <t>17,811口</t>
  </si>
  <si>
    <t>1月8日(木)</t>
  </si>
  <si>
    <t>6,600口</t>
  </si>
  <si>
    <t>1月27日(火)</t>
  </si>
  <si>
    <t>65口</t>
  </si>
  <si>
    <t>1月1日(木)</t>
  </si>
  <si>
    <t>335口</t>
  </si>
  <si>
    <t>1月20日(火)</t>
  </si>
  <si>
    <t>35口</t>
  </si>
  <si>
    <t>1月3日(土)</t>
  </si>
  <si>
    <t xml:space="preserve">第11回3日目 </t>
  </si>
  <si>
    <t>2月10日(火)</t>
  </si>
  <si>
    <t>15口</t>
  </si>
  <si>
    <t>2月12日(木)</t>
  </si>
  <si>
    <t>2月11日(水)</t>
  </si>
  <si>
    <t>2月9日(月)</t>
  </si>
  <si>
    <t>2月3日(火)</t>
  </si>
  <si>
    <t>1月30日(金)</t>
  </si>
  <si>
    <t>1月23日(金)</t>
  </si>
  <si>
    <t>1月15日(木)</t>
  </si>
  <si>
    <t>1月12日(月)</t>
  </si>
  <si>
    <t>1月7日(水)</t>
  </si>
  <si>
    <t xml:space="preserve">第10回2日目 </t>
  </si>
  <si>
    <t>1-234</t>
  </si>
  <si>
    <t>234-234</t>
  </si>
  <si>
    <t>23456-3456</t>
  </si>
  <si>
    <t>23-456</t>
  </si>
  <si>
    <t>13-13</t>
  </si>
  <si>
    <t>12-2341011、234-1</t>
  </si>
  <si>
    <t>1-67891011、345-1</t>
  </si>
  <si>
    <t>1-2345</t>
  </si>
  <si>
    <t>2026年</t>
  </si>
  <si>
    <t>的中回数</t>
  </si>
  <si>
    <t>払戻総額</t>
  </si>
  <si>
    <t>平均払戻額</t>
  </si>
  <si>
    <t>総掛金</t>
  </si>
  <si>
    <t>回収率</t>
  </si>
  <si>
    <t>中央値</t>
  </si>
  <si>
    <t>平均</t>
  </si>
  <si>
    <t>1-2345678910</t>
  </si>
  <si>
    <t>1-234、234-1</t>
  </si>
  <si>
    <t>23--1</t>
  </si>
  <si>
    <t>1-567891011</t>
  </si>
  <si>
    <t>1-23456</t>
  </si>
  <si>
    <t>2345-2345</t>
  </si>
  <si>
    <t>23-23456</t>
  </si>
  <si>
    <t>23-23</t>
  </si>
  <si>
    <t>1-567891011、234-1</t>
  </si>
  <si>
    <t>1-23、23-1</t>
  </si>
  <si>
    <t>12-34567891011、345-345</t>
  </si>
  <si>
    <t>1234-10111213</t>
    <phoneticPr fontId="3"/>
  </si>
  <si>
    <t>1-56789、56789-1</t>
    <phoneticPr fontId="3"/>
  </si>
  <si>
    <t>1234-1234</t>
    <phoneticPr fontId="3"/>
  </si>
  <si>
    <r>
      <t xml:space="preserve">   </t>
    </r>
    <r>
      <rPr>
        <sz val="11"/>
        <color theme="1"/>
        <rFont val="Aptos Narrow"/>
        <family val="3"/>
        <charset val="128"/>
        <scheme val="minor"/>
      </rPr>
      <t>レグ</t>
    </r>
    <r>
      <rPr>
        <sz val="11"/>
        <color theme="1"/>
        <rFont val="Aptos Narrow"/>
        <scheme val="minor"/>
      </rPr>
      <t xml:space="preserve">    </t>
    </r>
    <r>
      <rPr>
        <sz val="11"/>
        <color theme="1"/>
        <rFont val="Aptos Narrow"/>
        <family val="3"/>
        <charset val="128"/>
        <scheme val="minor"/>
      </rPr>
      <t>│</t>
    </r>
    <r>
      <rPr>
        <sz val="11"/>
        <color theme="1"/>
        <rFont val="Aptos Narrow"/>
        <scheme val="minor"/>
      </rPr>
      <t xml:space="preserve">    1</t>
    </r>
    <r>
      <rPr>
        <sz val="11"/>
        <color theme="1"/>
        <rFont val="Aptos Narrow"/>
        <family val="3"/>
        <charset val="128"/>
        <scheme val="minor"/>
      </rPr>
      <t>着</t>
    </r>
    <r>
      <rPr>
        <sz val="11"/>
        <color theme="1"/>
        <rFont val="Aptos Narrow"/>
        <scheme val="minor"/>
      </rPr>
      <t xml:space="preserve">    </t>
    </r>
    <r>
      <rPr>
        <sz val="11"/>
        <color theme="1"/>
        <rFont val="Aptos Narrow"/>
        <family val="3"/>
        <charset val="128"/>
        <scheme val="minor"/>
      </rPr>
      <t>│</t>
    </r>
    <r>
      <rPr>
        <sz val="11"/>
        <color theme="1"/>
        <rFont val="Aptos Narrow"/>
        <scheme val="minor"/>
      </rPr>
      <t xml:space="preserve">          2</t>
    </r>
    <r>
      <rPr>
        <sz val="11"/>
        <color theme="1"/>
        <rFont val="Aptos Narrow"/>
        <family val="3"/>
        <charset val="128"/>
        <scheme val="minor"/>
      </rPr>
      <t>着</t>
    </r>
    <r>
      <rPr>
        <sz val="11"/>
        <color theme="1"/>
        <rFont val="Aptos Narrow"/>
        <scheme val="minor"/>
      </rPr>
      <t xml:space="preserve">          </t>
    </r>
    <r>
      <rPr>
        <sz val="11"/>
        <color theme="1"/>
        <rFont val="Aptos Narrow"/>
        <family val="3"/>
        <charset val="128"/>
        <scheme val="minor"/>
      </rPr>
      <t>│</t>
    </r>
    <r>
      <rPr>
        <sz val="11"/>
        <color theme="1"/>
        <rFont val="Aptos Narrow"/>
        <scheme val="minor"/>
      </rPr>
      <t xml:space="preserve">   </t>
    </r>
    <r>
      <rPr>
        <sz val="11"/>
        <color theme="1"/>
        <rFont val="Aptos Narrow"/>
        <family val="3"/>
        <charset val="128"/>
        <scheme val="minor"/>
      </rPr>
      <t>通り数</t>
    </r>
    <r>
      <rPr>
        <sz val="11"/>
        <color theme="1"/>
        <rFont val="Aptos Narrow"/>
        <scheme val="minor"/>
      </rPr>
      <t xml:space="preserve">   </t>
    </r>
    <r>
      <rPr>
        <sz val="11"/>
        <color theme="1"/>
        <rFont val="Aptos Narrow"/>
        <family val="3"/>
        <charset val="128"/>
        <scheme val="minor"/>
      </rPr>
      <t>│</t>
    </r>
  </si>
  <si>
    <r>
      <t xml:space="preserve">  </t>
    </r>
    <r>
      <rPr>
        <sz val="11"/>
        <color theme="1"/>
        <rFont val="Aptos Narrow"/>
        <family val="3"/>
        <charset val="128"/>
        <scheme val="minor"/>
      </rPr>
      <t>├───────────┼───────────┼───────────────────────┼────────────┤</t>
    </r>
  </si>
  <si>
    <r>
      <t xml:space="preserve">  </t>
    </r>
    <r>
      <rPr>
        <sz val="11"/>
        <color theme="1"/>
        <rFont val="Aptos Narrow"/>
        <family val="3"/>
        <charset val="128"/>
        <scheme val="minor"/>
      </rPr>
      <t>│</t>
    </r>
    <r>
      <rPr>
        <sz val="11"/>
        <color theme="1"/>
        <rFont val="Aptos Narrow"/>
        <scheme val="minor"/>
      </rPr>
      <t xml:space="preserve"> L1</t>
    </r>
    <r>
      <rPr>
        <sz val="11"/>
        <color theme="1"/>
        <rFont val="Aptos Narrow"/>
        <family val="3"/>
        <charset val="128"/>
        <scheme val="minor"/>
      </rPr>
      <t>（</t>
    </r>
    <r>
      <rPr>
        <sz val="11"/>
        <color theme="1"/>
        <rFont val="Aptos Narrow"/>
        <scheme val="minor"/>
      </rPr>
      <t>10R</t>
    </r>
    <r>
      <rPr>
        <sz val="11"/>
        <color theme="1"/>
        <rFont val="Aptos Narrow"/>
        <family val="3"/>
        <charset val="128"/>
        <scheme val="minor"/>
      </rPr>
      <t>）</t>
    </r>
    <r>
      <rPr>
        <sz val="11"/>
        <color theme="1"/>
        <rFont val="Aptos Narrow"/>
        <scheme val="minor"/>
      </rPr>
      <t xml:space="preserve"> </t>
    </r>
    <r>
      <rPr>
        <sz val="11"/>
        <color theme="1"/>
        <rFont val="Aptos Narrow"/>
        <family val="3"/>
        <charset val="128"/>
        <scheme val="minor"/>
      </rPr>
      <t>│</t>
    </r>
    <r>
      <rPr>
        <sz val="11"/>
        <color theme="1"/>
        <rFont val="Aptos Narrow"/>
        <scheme val="minor"/>
      </rPr>
      <t xml:space="preserve"> 1</t>
    </r>
    <r>
      <rPr>
        <sz val="11"/>
        <color theme="1"/>
        <rFont val="Aptos Narrow"/>
        <family val="3"/>
        <charset val="128"/>
        <scheme val="minor"/>
      </rPr>
      <t>番人気</t>
    </r>
    <r>
      <rPr>
        <sz val="11"/>
        <color theme="1"/>
        <rFont val="Aptos Narrow"/>
        <scheme val="minor"/>
      </rPr>
      <t xml:space="preserve">   </t>
    </r>
    <r>
      <rPr>
        <sz val="11"/>
        <color theme="1"/>
        <rFont val="Aptos Narrow"/>
        <family val="3"/>
        <charset val="128"/>
        <scheme val="minor"/>
      </rPr>
      <t>│</t>
    </r>
    <r>
      <rPr>
        <sz val="11"/>
        <color theme="1"/>
        <rFont val="Aptos Narrow"/>
        <scheme val="minor"/>
      </rPr>
      <t xml:space="preserve"> 2</t>
    </r>
    <r>
      <rPr>
        <sz val="11"/>
        <color theme="1"/>
        <rFont val="Aptos Narrow"/>
        <family val="3"/>
        <charset val="128"/>
        <scheme val="minor"/>
      </rPr>
      <t>番人気</t>
    </r>
    <r>
      <rPr>
        <sz val="11"/>
        <color theme="1"/>
        <rFont val="Aptos Narrow"/>
        <scheme val="minor"/>
      </rPr>
      <t xml:space="preserve">               </t>
    </r>
    <r>
      <rPr>
        <sz val="11"/>
        <color theme="1"/>
        <rFont val="Aptos Narrow"/>
        <family val="3"/>
        <charset val="128"/>
        <scheme val="minor"/>
      </rPr>
      <t>│</t>
    </r>
    <r>
      <rPr>
        <sz val="11"/>
        <color theme="1"/>
        <rFont val="Aptos Narrow"/>
        <scheme val="minor"/>
      </rPr>
      <t xml:space="preserve"> 1</t>
    </r>
    <r>
      <rPr>
        <sz val="11"/>
        <color theme="1"/>
        <rFont val="Aptos Narrow"/>
        <family val="3"/>
        <charset val="128"/>
        <scheme val="minor"/>
      </rPr>
      <t>通り</t>
    </r>
    <r>
      <rPr>
        <sz val="11"/>
        <color theme="1"/>
        <rFont val="Aptos Narrow"/>
        <scheme val="minor"/>
      </rPr>
      <t xml:space="preserve">      </t>
    </r>
    <r>
      <rPr>
        <sz val="11"/>
        <color theme="1"/>
        <rFont val="Aptos Narrow"/>
        <family val="3"/>
        <charset val="128"/>
        <scheme val="minor"/>
      </rPr>
      <t>│</t>
    </r>
  </si>
  <si>
    <r>
      <t xml:space="preserve">  </t>
    </r>
    <r>
      <rPr>
        <sz val="11"/>
        <color theme="1"/>
        <rFont val="Aptos Narrow"/>
        <family val="3"/>
        <charset val="128"/>
        <scheme val="minor"/>
      </rPr>
      <t>│</t>
    </r>
    <r>
      <rPr>
        <sz val="11"/>
        <color theme="1"/>
        <rFont val="Aptos Narrow"/>
        <scheme val="minor"/>
      </rPr>
      <t xml:space="preserve"> L2</t>
    </r>
    <r>
      <rPr>
        <sz val="11"/>
        <color theme="1"/>
        <rFont val="Aptos Narrow"/>
        <family val="3"/>
        <charset val="128"/>
        <scheme val="minor"/>
      </rPr>
      <t>（</t>
    </r>
    <r>
      <rPr>
        <sz val="11"/>
        <color theme="1"/>
        <rFont val="Aptos Narrow"/>
        <scheme val="minor"/>
      </rPr>
      <t>11R</t>
    </r>
    <r>
      <rPr>
        <sz val="11"/>
        <color theme="1"/>
        <rFont val="Aptos Narrow"/>
        <family val="3"/>
        <charset val="128"/>
        <scheme val="minor"/>
      </rPr>
      <t>）</t>
    </r>
    <r>
      <rPr>
        <sz val="11"/>
        <color theme="1"/>
        <rFont val="Aptos Narrow"/>
        <scheme val="minor"/>
      </rPr>
      <t xml:space="preserve"> </t>
    </r>
    <r>
      <rPr>
        <sz val="11"/>
        <color theme="1"/>
        <rFont val="Aptos Narrow"/>
        <family val="3"/>
        <charset val="128"/>
        <scheme val="minor"/>
      </rPr>
      <t>│</t>
    </r>
    <r>
      <rPr>
        <sz val="11"/>
        <color theme="1"/>
        <rFont val="Aptos Narrow"/>
        <scheme val="minor"/>
      </rPr>
      <t xml:space="preserve"> 1</t>
    </r>
    <r>
      <rPr>
        <sz val="11"/>
        <color theme="1"/>
        <rFont val="Aptos Narrow"/>
        <family val="3"/>
        <charset val="128"/>
        <scheme val="minor"/>
      </rPr>
      <t>番人気</t>
    </r>
    <r>
      <rPr>
        <sz val="11"/>
        <color theme="1"/>
        <rFont val="Aptos Narrow"/>
        <scheme val="minor"/>
      </rPr>
      <t xml:space="preserve">   </t>
    </r>
    <r>
      <rPr>
        <sz val="11"/>
        <color theme="1"/>
        <rFont val="Aptos Narrow"/>
        <family val="3"/>
        <charset val="128"/>
        <scheme val="minor"/>
      </rPr>
      <t>│</t>
    </r>
    <r>
      <rPr>
        <sz val="11"/>
        <color theme="1"/>
        <rFont val="Aptos Narrow"/>
        <scheme val="minor"/>
      </rPr>
      <t xml:space="preserve"> 6</t>
    </r>
    <r>
      <rPr>
        <sz val="11"/>
        <color theme="1"/>
        <rFont val="Aptos Narrow"/>
        <family val="3"/>
        <charset val="128"/>
        <scheme val="minor"/>
      </rPr>
      <t>番人気以降</t>
    </r>
    <r>
      <rPr>
        <sz val="11"/>
        <color theme="1"/>
        <rFont val="Aptos Narrow"/>
        <scheme val="minor"/>
      </rPr>
      <t xml:space="preserve">           </t>
    </r>
    <r>
      <rPr>
        <sz val="11"/>
        <color theme="1"/>
        <rFont val="Aptos Narrow"/>
        <family val="3"/>
        <charset val="128"/>
        <scheme val="minor"/>
      </rPr>
      <t>│</t>
    </r>
    <r>
      <rPr>
        <sz val="11"/>
        <color theme="1"/>
        <rFont val="Aptos Narrow"/>
        <scheme val="minor"/>
      </rPr>
      <t xml:space="preserve"> </t>
    </r>
    <r>
      <rPr>
        <sz val="11"/>
        <color theme="1"/>
        <rFont val="Aptos Narrow"/>
        <family val="3"/>
        <charset val="128"/>
        <scheme val="minor"/>
      </rPr>
      <t>頭数による</t>
    </r>
    <r>
      <rPr>
        <sz val="11"/>
        <color theme="1"/>
        <rFont val="Aptos Narrow"/>
        <scheme val="minor"/>
      </rPr>
      <t xml:space="preserve"> </t>
    </r>
    <r>
      <rPr>
        <sz val="11"/>
        <color theme="1"/>
        <rFont val="Aptos Narrow"/>
        <family val="3"/>
        <charset val="128"/>
        <scheme val="minor"/>
      </rPr>
      <t>│</t>
    </r>
  </si>
  <si>
    <r>
      <t xml:space="preserve">  </t>
    </r>
    <r>
      <rPr>
        <sz val="11"/>
        <color theme="1"/>
        <rFont val="Aptos Narrow"/>
        <family val="3"/>
        <charset val="128"/>
        <scheme val="minor"/>
      </rPr>
      <t>│</t>
    </r>
    <r>
      <rPr>
        <sz val="11"/>
        <color theme="1"/>
        <rFont val="Aptos Narrow"/>
        <scheme val="minor"/>
      </rPr>
      <t xml:space="preserve"> L3</t>
    </r>
    <r>
      <rPr>
        <sz val="11"/>
        <color theme="1"/>
        <rFont val="Aptos Narrow"/>
        <family val="3"/>
        <charset val="128"/>
        <scheme val="minor"/>
      </rPr>
      <t>（</t>
    </r>
    <r>
      <rPr>
        <sz val="11"/>
        <color theme="1"/>
        <rFont val="Aptos Narrow"/>
        <scheme val="minor"/>
      </rPr>
      <t>12R</t>
    </r>
    <r>
      <rPr>
        <sz val="11"/>
        <color theme="1"/>
        <rFont val="Aptos Narrow"/>
        <family val="3"/>
        <charset val="128"/>
        <scheme val="minor"/>
      </rPr>
      <t>）</t>
    </r>
    <r>
      <rPr>
        <sz val="11"/>
        <color theme="1"/>
        <rFont val="Aptos Narrow"/>
        <scheme val="minor"/>
      </rPr>
      <t xml:space="preserve"> </t>
    </r>
    <r>
      <rPr>
        <sz val="11"/>
        <color theme="1"/>
        <rFont val="Aptos Narrow"/>
        <family val="3"/>
        <charset val="128"/>
        <scheme val="minor"/>
      </rPr>
      <t>│</t>
    </r>
    <r>
      <rPr>
        <sz val="11"/>
        <color theme="1"/>
        <rFont val="Aptos Narrow"/>
        <scheme val="minor"/>
      </rPr>
      <t xml:space="preserve"> 2,3</t>
    </r>
    <r>
      <rPr>
        <sz val="11"/>
        <color theme="1"/>
        <rFont val="Aptos Narrow"/>
        <family val="3"/>
        <charset val="128"/>
        <scheme val="minor"/>
      </rPr>
      <t>番人気</t>
    </r>
    <r>
      <rPr>
        <sz val="11"/>
        <color theme="1"/>
        <rFont val="Aptos Narrow"/>
        <scheme val="minor"/>
      </rPr>
      <t xml:space="preserve"> </t>
    </r>
    <r>
      <rPr>
        <sz val="11"/>
        <color theme="1"/>
        <rFont val="Aptos Narrow"/>
        <family val="3"/>
        <charset val="128"/>
        <scheme val="minor"/>
      </rPr>
      <t>│</t>
    </r>
    <r>
      <rPr>
        <sz val="11"/>
        <color theme="1"/>
        <rFont val="Aptos Narrow"/>
        <scheme val="minor"/>
      </rPr>
      <t xml:space="preserve"> 1-5</t>
    </r>
    <r>
      <rPr>
        <sz val="11"/>
        <color theme="1"/>
        <rFont val="Aptos Narrow"/>
        <family val="3"/>
        <charset val="128"/>
        <scheme val="minor"/>
      </rPr>
      <t>番人気（自分除く）</t>
    </r>
    <r>
      <rPr>
        <sz val="11"/>
        <color theme="1"/>
        <rFont val="Aptos Narrow"/>
        <scheme val="minor"/>
      </rPr>
      <t xml:space="preserve"> </t>
    </r>
    <r>
      <rPr>
        <sz val="11"/>
        <color theme="1"/>
        <rFont val="Aptos Narrow"/>
        <family val="3"/>
        <charset val="128"/>
        <scheme val="minor"/>
      </rPr>
      <t>│</t>
    </r>
    <r>
      <rPr>
        <sz val="11"/>
        <color theme="1"/>
        <rFont val="Aptos Narrow"/>
        <scheme val="minor"/>
      </rPr>
      <t xml:space="preserve"> 8</t>
    </r>
    <r>
      <rPr>
        <sz val="11"/>
        <color theme="1"/>
        <rFont val="Aptos Narrow"/>
        <family val="3"/>
        <charset val="128"/>
        <scheme val="minor"/>
      </rPr>
      <t>通り</t>
    </r>
    <r>
      <rPr>
        <sz val="11"/>
        <color theme="1"/>
        <rFont val="Aptos Narrow"/>
        <scheme val="minor"/>
      </rPr>
      <t xml:space="preserve">      </t>
    </r>
    <r>
      <rPr>
        <sz val="11"/>
        <color theme="1"/>
        <rFont val="Aptos Narrow"/>
        <family val="3"/>
        <charset val="128"/>
        <scheme val="minor"/>
      </rPr>
      <t>│</t>
    </r>
  </si>
  <si>
    <r>
      <t>2</t>
    </r>
    <r>
      <rPr>
        <sz val="11"/>
        <color theme="1"/>
        <rFont val="ＭＳ ゴシック"/>
        <family val="3"/>
        <charset val="128"/>
      </rPr>
      <t>月</t>
    </r>
    <r>
      <rPr>
        <sz val="11"/>
        <color theme="1"/>
        <rFont val="Aptos Narrow"/>
        <family val="2"/>
        <scheme val="minor"/>
      </rPr>
      <t>20</t>
    </r>
    <r>
      <rPr>
        <sz val="11"/>
        <color theme="1"/>
        <rFont val="ＭＳ ゴシック"/>
        <family val="3"/>
        <charset val="128"/>
      </rPr>
      <t>日</t>
    </r>
    <r>
      <rPr>
        <sz val="11"/>
        <color theme="1"/>
        <rFont val="Aptos Narrow"/>
        <family val="2"/>
        <scheme val="minor"/>
      </rPr>
      <t>(</t>
    </r>
    <r>
      <rPr>
        <sz val="11"/>
        <color theme="1"/>
        <rFont val="ＭＳ ゴシック"/>
        <family val="3"/>
        <charset val="128"/>
      </rPr>
      <t>金</t>
    </r>
    <r>
      <rPr>
        <sz val="11"/>
        <color theme="1"/>
        <rFont val="Aptos Narrow"/>
        <family val="2"/>
        <scheme val="minor"/>
      </rPr>
      <t>)</t>
    </r>
    <rPh sb="6" eb="7">
      <t>キン</t>
    </rPh>
    <phoneticPr fontId="3"/>
  </si>
  <si>
    <r>
      <t>2</t>
    </r>
    <r>
      <rPr>
        <sz val="11"/>
        <color theme="1"/>
        <rFont val="ＭＳ ゴシック"/>
        <family val="3"/>
        <charset val="128"/>
      </rPr>
      <t>月</t>
    </r>
    <r>
      <rPr>
        <sz val="11"/>
        <color theme="1"/>
        <rFont val="Aptos Narrow"/>
        <family val="2"/>
        <scheme val="minor"/>
      </rPr>
      <t>19</t>
    </r>
    <r>
      <rPr>
        <sz val="11"/>
        <color theme="1"/>
        <rFont val="ＭＳ ゴシック"/>
        <family val="3"/>
        <charset val="128"/>
      </rPr>
      <t>日</t>
    </r>
    <r>
      <rPr>
        <sz val="11"/>
        <color theme="1"/>
        <rFont val="Aptos Narrow"/>
        <family val="2"/>
        <scheme val="minor"/>
      </rPr>
      <t>(</t>
    </r>
    <r>
      <rPr>
        <sz val="11"/>
        <color theme="1"/>
        <rFont val="游ゴシック"/>
        <family val="2"/>
        <charset val="128"/>
      </rPr>
      <t>木</t>
    </r>
    <r>
      <rPr>
        <sz val="11"/>
        <color theme="1"/>
        <rFont val="Aptos Narrow"/>
        <family val="2"/>
        <scheme val="minor"/>
      </rPr>
      <t>)</t>
    </r>
    <rPh sb="6" eb="7">
      <t>モク</t>
    </rPh>
    <phoneticPr fontId="3"/>
  </si>
  <si>
    <r>
      <rPr>
        <sz val="11"/>
        <color theme="1"/>
        <rFont val="ＭＳ ゴシック"/>
        <family val="3"/>
        <charset val="128"/>
      </rPr>
      <t>第</t>
    </r>
    <r>
      <rPr>
        <sz val="11"/>
        <color theme="1"/>
        <rFont val="Aptos Narrow"/>
        <family val="2"/>
        <scheme val="minor"/>
      </rPr>
      <t>17</t>
    </r>
    <r>
      <rPr>
        <sz val="11"/>
        <color theme="1"/>
        <rFont val="ＭＳ ゴシック"/>
        <family val="3"/>
        <charset val="128"/>
      </rPr>
      <t>回</t>
    </r>
    <r>
      <rPr>
        <sz val="11"/>
        <color theme="1"/>
        <rFont val="Aptos Narrow"/>
        <family val="2"/>
        <scheme val="minor"/>
      </rPr>
      <t>4</t>
    </r>
    <r>
      <rPr>
        <sz val="11"/>
        <color theme="1"/>
        <rFont val="ＭＳ ゴシック"/>
        <family val="3"/>
        <charset val="128"/>
      </rPr>
      <t>日目</t>
    </r>
    <phoneticPr fontId="3"/>
  </si>
  <si>
    <r>
      <rPr>
        <sz val="11"/>
        <color theme="1"/>
        <rFont val="ＭＳ ゴシック"/>
        <family val="3"/>
        <charset val="128"/>
      </rPr>
      <t>第</t>
    </r>
    <r>
      <rPr>
        <sz val="11"/>
        <color theme="1"/>
        <rFont val="Aptos Narrow"/>
        <family val="2"/>
        <scheme val="minor"/>
      </rPr>
      <t>17</t>
    </r>
    <r>
      <rPr>
        <sz val="11"/>
        <color theme="1"/>
        <rFont val="ＭＳ ゴシック"/>
        <family val="3"/>
        <charset val="128"/>
      </rPr>
      <t>回</t>
    </r>
    <r>
      <rPr>
        <sz val="11"/>
        <color theme="1"/>
        <rFont val="Aptos Narrow"/>
        <family val="3"/>
      </rPr>
      <t>5</t>
    </r>
    <r>
      <rPr>
        <sz val="11"/>
        <color theme="1"/>
        <rFont val="ＭＳ ゴシック"/>
        <family val="3"/>
        <charset val="128"/>
      </rPr>
      <t>日目</t>
    </r>
    <phoneticPr fontId="3"/>
  </si>
  <si>
    <t>195口</t>
    <rPh sb="3" eb="4">
      <t>クチ</t>
    </rPh>
    <phoneticPr fontId="3"/>
  </si>
  <si>
    <t>234-7891011</t>
    <phoneticPr fontId="3"/>
  </si>
  <si>
    <t>1--2345</t>
    <phoneticPr fontId="3"/>
  </si>
  <si>
    <t>12345-12345</t>
    <phoneticPr fontId="3"/>
  </si>
  <si>
    <t>123-123</t>
    <phoneticPr fontId="3"/>
  </si>
  <si>
    <t>123-45</t>
    <phoneticPr fontId="3"/>
  </si>
  <si>
    <t>45-123</t>
    <phoneticPr fontId="3"/>
  </si>
  <si>
    <t>1-7891011</t>
    <phoneticPr fontId="3"/>
  </si>
  <si>
    <t>123-12</t>
    <phoneticPr fontId="3"/>
  </si>
  <si>
    <t>12-123</t>
    <phoneticPr fontId="3"/>
  </si>
  <si>
    <t>12-123456</t>
    <phoneticPr fontId="3"/>
  </si>
  <si>
    <t>12-123</t>
    <phoneticPr fontId="3"/>
  </si>
  <si>
    <t>12-123456</t>
    <phoneticPr fontId="3"/>
  </si>
  <si>
    <t>34-123456</t>
    <phoneticPr fontId="3"/>
  </si>
  <si>
    <t>12-4567891011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</si>
</sst>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9" x14ac:knownFonts="1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游ゴシック"/>
      <family val="3"/>
      <charset val="128"/>
    </font>
    <font>
      <sz val="6"/>
      <name val="Aptos Narrow"/>
      <family val="3"/>
      <charset val="128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3"/>
      <charset val="128"/>
      <scheme val="minor"/>
    </font>
    <font>
      <sz val="11"/>
      <color theme="1"/>
      <name val="Aptos Narrow"/>
      <family val="3"/>
    </font>
    <font>
      <sz val="11"/>
      <color theme="1"/>
      <name val="ＭＳ ゴシック"/>
      <family val="3"/>
      <charset val="128"/>
    </font>
    <font>
      <sz val="11"/>
      <color theme="1"/>
      <name val="游ゴシック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21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38" fontId="2" fillId="0" borderId="0" xfId="0" applyNumberFormat="1" applyFont="1" applyAlignment="1">
      <alignment vertical="center"/>
    </xf>
    <xf numFmtId="3" fontId="2" fillId="0" borderId="0" xfId="0" applyNumberFormat="1" applyFont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176" fontId="2" fillId="0" borderId="0" xfId="0" applyNumberFormat="1" applyFont="1" applyAlignment="1">
      <alignment vertical="center"/>
    </xf>
    <xf numFmtId="56" fontId="2" fillId="0" borderId="0" xfId="0" applyNumberFormat="1" applyFont="1" applyAlignment="1">
      <alignment vertical="center"/>
    </xf>
    <xf numFmtId="38" fontId="0" fillId="0" borderId="0" xfId="1" applyFont="1" applyAlignment="1">
      <alignment vertical="center"/>
    </xf>
    <xf numFmtId="38" fontId="1" fillId="0" borderId="0" xfId="1" applyFont="1" applyAlignment="1">
      <alignment vertical="center"/>
    </xf>
    <xf numFmtId="0" fontId="2" fillId="2" borderId="0" xfId="0" applyFont="1" applyFill="1" applyAlignment="1">
      <alignment vertical="center"/>
    </xf>
    <xf numFmtId="0" fontId="1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176" fontId="0" fillId="0" borderId="0" xfId="2" applyNumberFormat="1" applyFont="1" applyAlignment="1">
      <alignment vertical="center"/>
    </xf>
    <xf numFmtId="0" fontId="0" fillId="0" borderId="1" xfId="0" applyBorder="1" applyAlignment="1">
      <alignment vertical="center"/>
    </xf>
    <xf numFmtId="0" fontId="5" fillId="0" borderId="0" xfId="0" applyFont="1" applyAlignment="1">
      <alignment vertical="center"/>
    </xf>
    <xf numFmtId="0" fontId="4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38" fontId="0" fillId="3" borderId="0" xfId="1" applyFont="1" applyFill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microsoft.com/office/2017/10/relationships/person" Target="persons/perso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33430-E330-45F4-B998-63D58F949DA1}">
  <sheetPr filterMode="1"/>
  <dimension ref="A1:T955"/>
  <sheetViews>
    <sheetView tabSelected="1" workbookViewId="0">
      <selection activeCell="D281" sqref="D281:D308"/>
    </sheetView>
  </sheetViews>
  <sheetFormatPr defaultColWidth="12.59765625" defaultRowHeight="15" customHeight="1" x14ac:dyDescent="0.45"/>
  <cols>
    <col min="1" max="1" width="5.53125" bestFit="1" customWidth="1"/>
    <col min="2" max="2" width="9.265625" bestFit="1" customWidth="1"/>
    <col min="3" max="3" width="19.796875" bestFit="1" customWidth="1"/>
    <col min="4" max="4" width="9.265625" bestFit="1" customWidth="1"/>
    <col min="5" max="5" width="12.19921875" bestFit="1" customWidth="1"/>
    <col min="6" max="6" width="11.265625" bestFit="1" customWidth="1"/>
    <col min="7" max="8" width="9.265625" bestFit="1" customWidth="1"/>
    <col min="9" max="9" width="10.265625" bestFit="1" customWidth="1"/>
    <col min="10" max="10" width="10.1328125" customWidth="1"/>
    <col min="11" max="11" width="9.265625" bestFit="1" customWidth="1"/>
    <col min="12" max="13" width="10.265625" bestFit="1" customWidth="1"/>
    <col min="14" max="14" width="9.265625" bestFit="1" customWidth="1"/>
    <col min="15" max="16" width="10.265625" bestFit="1" customWidth="1"/>
    <col min="17" max="17" width="26.06640625" customWidth="1"/>
    <col min="18" max="18" width="11.265625" bestFit="1" customWidth="1"/>
    <col min="19" max="19" width="11" bestFit="1" customWidth="1"/>
    <col min="20" max="20" width="19.1328125" bestFit="1" customWidth="1"/>
    <col min="21" max="26" width="7.59765625" customWidth="1"/>
  </cols>
  <sheetData>
    <row r="1" spans="1:20" ht="18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</v>
      </c>
      <c r="H1" s="1" t="s">
        <v>6</v>
      </c>
      <c r="I1" s="1" t="s">
        <v>7</v>
      </c>
      <c r="J1" s="1" t="s">
        <v>8</v>
      </c>
      <c r="K1" s="1" t="s">
        <v>6</v>
      </c>
      <c r="L1" s="1" t="s">
        <v>7</v>
      </c>
      <c r="M1" s="1" t="s">
        <v>8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  <c r="S1" s="2" t="s">
        <v>11</v>
      </c>
      <c r="T1" s="2" t="s">
        <v>12</v>
      </c>
    </row>
    <row r="2" spans="1:20" ht="18" hidden="1" customHeight="1" x14ac:dyDescent="0.45">
      <c r="A2" s="1">
        <v>1</v>
      </c>
      <c r="B2" s="1"/>
      <c r="C2" s="12" t="s">
        <v>486</v>
      </c>
      <c r="D2" s="1" t="s">
        <v>33</v>
      </c>
      <c r="E2" s="15" t="s">
        <v>489</v>
      </c>
      <c r="F2" s="1">
        <f>SUM(H2:P2)</f>
        <v>26</v>
      </c>
      <c r="G2" s="1">
        <f>COUNTIF(I2:P2,1)</f>
        <v>1</v>
      </c>
      <c r="H2" s="1" t="s">
        <v>15</v>
      </c>
      <c r="I2" s="1">
        <v>4</v>
      </c>
      <c r="J2" s="1">
        <v>5</v>
      </c>
      <c r="K2" s="1" t="s">
        <v>16</v>
      </c>
      <c r="L2" s="1">
        <v>10</v>
      </c>
      <c r="M2" s="1">
        <v>2</v>
      </c>
      <c r="N2" s="1" t="s">
        <v>17</v>
      </c>
      <c r="O2" s="1">
        <v>1</v>
      </c>
      <c r="P2" s="1">
        <v>4</v>
      </c>
      <c r="R2" s="1" t="s">
        <v>426</v>
      </c>
      <c r="S2" s="3"/>
      <c r="T2" s="9">
        <v>15471603</v>
      </c>
    </row>
    <row r="3" spans="1:20" ht="18" hidden="1" customHeight="1" x14ac:dyDescent="0.45">
      <c r="A3" s="1">
        <v>2</v>
      </c>
      <c r="B3" s="1"/>
      <c r="C3" s="12" t="s">
        <v>487</v>
      </c>
      <c r="D3" s="1" t="s">
        <v>33</v>
      </c>
      <c r="E3" s="15" t="s">
        <v>488</v>
      </c>
      <c r="F3" s="1">
        <f>SUM(H3:P3)</f>
        <v>16</v>
      </c>
      <c r="G3" s="1">
        <f>COUNTIF(I3:P3,1)</f>
        <v>2</v>
      </c>
      <c r="H3" s="1" t="s">
        <v>15</v>
      </c>
      <c r="I3" s="1">
        <v>1</v>
      </c>
      <c r="J3" s="1">
        <v>2</v>
      </c>
      <c r="K3" s="1" t="s">
        <v>16</v>
      </c>
      <c r="L3" s="1">
        <v>1</v>
      </c>
      <c r="M3" s="1">
        <v>5</v>
      </c>
      <c r="N3" s="1" t="s">
        <v>17</v>
      </c>
      <c r="O3" s="1">
        <v>2</v>
      </c>
      <c r="P3" s="1">
        <v>5</v>
      </c>
      <c r="R3" s="12" t="s">
        <v>490</v>
      </c>
      <c r="S3" s="3">
        <v>415960</v>
      </c>
      <c r="T3" s="1">
        <v>0</v>
      </c>
    </row>
    <row r="4" spans="1:20" ht="18" customHeight="1" x14ac:dyDescent="0.45">
      <c r="A4" s="1">
        <v>68</v>
      </c>
      <c r="C4" s="1" t="s">
        <v>89</v>
      </c>
      <c r="D4" s="1" t="s">
        <v>25</v>
      </c>
      <c r="E4" s="1" t="s">
        <v>90</v>
      </c>
      <c r="F4" s="1">
        <f>SUM(H4:P4)</f>
        <v>11</v>
      </c>
      <c r="G4" s="1"/>
      <c r="H4" s="1" t="s">
        <v>15</v>
      </c>
      <c r="I4" s="1">
        <v>2</v>
      </c>
      <c r="J4" s="1">
        <v>3</v>
      </c>
      <c r="K4" s="1" t="s">
        <v>16</v>
      </c>
      <c r="L4" s="1">
        <v>1</v>
      </c>
      <c r="M4" s="1">
        <v>2</v>
      </c>
      <c r="N4" s="1" t="s">
        <v>17</v>
      </c>
      <c r="O4" s="1">
        <v>2</v>
      </c>
      <c r="P4" s="1">
        <v>1</v>
      </c>
      <c r="S4" s="2">
        <v>10725</v>
      </c>
      <c r="T4" s="2"/>
    </row>
    <row r="5" spans="1:20" ht="18" hidden="1" customHeight="1" x14ac:dyDescent="0.45">
      <c r="A5" s="1">
        <v>4</v>
      </c>
      <c r="B5" s="1"/>
      <c r="C5" s="1" t="s">
        <v>422</v>
      </c>
      <c r="D5" s="1" t="s">
        <v>33</v>
      </c>
      <c r="E5" s="1" t="s">
        <v>346</v>
      </c>
      <c r="F5" s="1">
        <f>SUM(H5:P5)</f>
        <v>22</v>
      </c>
      <c r="G5" s="1">
        <f>COUNTIF(I5:P5,1)</f>
        <v>2</v>
      </c>
      <c r="H5" s="1" t="s">
        <v>15</v>
      </c>
      <c r="I5" s="1">
        <v>1</v>
      </c>
      <c r="J5" s="1">
        <v>2</v>
      </c>
      <c r="K5" s="1" t="s">
        <v>16</v>
      </c>
      <c r="L5" s="1">
        <v>1</v>
      </c>
      <c r="M5" s="1">
        <v>4</v>
      </c>
      <c r="N5" s="1" t="s">
        <v>17</v>
      </c>
      <c r="O5" s="1">
        <v>6</v>
      </c>
      <c r="P5" s="1">
        <v>8</v>
      </c>
      <c r="R5" s="1" t="s">
        <v>423</v>
      </c>
      <c r="S5" s="3">
        <v>14982315</v>
      </c>
      <c r="T5" s="1">
        <v>0</v>
      </c>
    </row>
    <row r="6" spans="1:20" ht="18" hidden="1" customHeight="1" x14ac:dyDescent="0.45">
      <c r="A6" s="1">
        <v>5</v>
      </c>
      <c r="B6" s="11"/>
      <c r="C6" s="1" t="s">
        <v>414</v>
      </c>
      <c r="D6" s="1" t="s">
        <v>33</v>
      </c>
      <c r="E6" s="1" t="s">
        <v>348</v>
      </c>
      <c r="F6" s="1">
        <f>SUM(H6:P6)</f>
        <v>16</v>
      </c>
      <c r="G6" s="1">
        <f>COUNTIF(I6:P6,1)</f>
        <v>1</v>
      </c>
      <c r="H6" s="1" t="s">
        <v>15</v>
      </c>
      <c r="I6" s="1">
        <v>3</v>
      </c>
      <c r="J6" s="1">
        <v>4</v>
      </c>
      <c r="K6" s="1" t="s">
        <v>16</v>
      </c>
      <c r="L6" s="1">
        <v>3</v>
      </c>
      <c r="M6" s="1">
        <v>1</v>
      </c>
      <c r="N6" s="1" t="s">
        <v>17</v>
      </c>
      <c r="O6" s="1">
        <v>2</v>
      </c>
      <c r="P6" s="1">
        <v>3</v>
      </c>
      <c r="Q6" s="1">
        <v>1</v>
      </c>
      <c r="R6" s="1" t="s">
        <v>415</v>
      </c>
      <c r="S6" s="3">
        <v>3351745</v>
      </c>
      <c r="T6" s="1">
        <v>0</v>
      </c>
    </row>
    <row r="7" spans="1:20" ht="18" hidden="1" customHeight="1" x14ac:dyDescent="0.45">
      <c r="A7" s="1">
        <v>6</v>
      </c>
      <c r="B7" s="10"/>
      <c r="C7" s="1" t="s">
        <v>416</v>
      </c>
      <c r="D7" s="1" t="s">
        <v>28</v>
      </c>
      <c r="E7" s="1" t="s">
        <v>127</v>
      </c>
      <c r="F7" s="1">
        <f>SUM(H7:P7)</f>
        <v>16</v>
      </c>
      <c r="G7" s="1">
        <f>COUNTIF(I7:P7,1)</f>
        <v>2</v>
      </c>
      <c r="H7" s="1" t="s">
        <v>15</v>
      </c>
      <c r="I7" s="1">
        <v>1</v>
      </c>
      <c r="J7" s="1">
        <v>2</v>
      </c>
      <c r="K7" s="1" t="s">
        <v>16</v>
      </c>
      <c r="L7" s="1">
        <v>1</v>
      </c>
      <c r="M7" s="1">
        <v>4</v>
      </c>
      <c r="N7" s="1" t="s">
        <v>17</v>
      </c>
      <c r="O7" s="1">
        <v>3</v>
      </c>
      <c r="P7" s="1">
        <v>5</v>
      </c>
      <c r="R7" s="1" t="s">
        <v>417</v>
      </c>
      <c r="S7" s="3">
        <v>4508310</v>
      </c>
      <c r="T7" s="1">
        <v>0</v>
      </c>
    </row>
    <row r="8" spans="1:20" ht="18" hidden="1" customHeight="1" x14ac:dyDescent="0.45">
      <c r="A8" s="1">
        <v>14</v>
      </c>
      <c r="C8" s="1" t="s">
        <v>444</v>
      </c>
      <c r="D8" s="1" t="s">
        <v>59</v>
      </c>
      <c r="E8" s="1" t="s">
        <v>105</v>
      </c>
      <c r="F8" s="1">
        <f>SUM(H8:P8)</f>
        <v>35</v>
      </c>
      <c r="G8" s="1">
        <f>COUNTIF(I8:P8,1)</f>
        <v>1</v>
      </c>
      <c r="H8" s="1" t="s">
        <v>15</v>
      </c>
      <c r="I8" s="1">
        <v>7</v>
      </c>
      <c r="J8" s="1">
        <v>5</v>
      </c>
      <c r="K8" s="1" t="s">
        <v>16</v>
      </c>
      <c r="L8" s="1">
        <v>1</v>
      </c>
      <c r="M8" s="1">
        <v>3</v>
      </c>
      <c r="N8" s="1" t="s">
        <v>17</v>
      </c>
      <c r="O8" s="1">
        <v>8</v>
      </c>
      <c r="P8" s="1">
        <v>11</v>
      </c>
      <c r="R8" s="1" t="s">
        <v>426</v>
      </c>
      <c r="T8" s="3">
        <v>10572625</v>
      </c>
    </row>
    <row r="9" spans="1:20" ht="18" hidden="1" customHeight="1" x14ac:dyDescent="0.45">
      <c r="A9" s="1">
        <v>8</v>
      </c>
      <c r="B9" s="20"/>
      <c r="C9" s="1" t="s">
        <v>442</v>
      </c>
      <c r="D9" s="1" t="s">
        <v>28</v>
      </c>
      <c r="E9" s="1" t="s">
        <v>438</v>
      </c>
      <c r="F9" s="1">
        <f>SUM(H9:P9)</f>
        <v>28</v>
      </c>
      <c r="G9" s="1">
        <f>COUNTIF(I9:P9,1)</f>
        <v>2</v>
      </c>
      <c r="H9" s="1" t="s">
        <v>15</v>
      </c>
      <c r="I9" s="1">
        <v>8</v>
      </c>
      <c r="J9" s="1">
        <v>1</v>
      </c>
      <c r="K9" s="1" t="s">
        <v>16</v>
      </c>
      <c r="L9" s="1">
        <v>1</v>
      </c>
      <c r="M9" s="1">
        <v>7</v>
      </c>
      <c r="N9" s="1" t="s">
        <v>17</v>
      </c>
      <c r="O9" s="1">
        <v>6</v>
      </c>
      <c r="P9" s="1">
        <v>5</v>
      </c>
      <c r="R9" s="1" t="s">
        <v>426</v>
      </c>
      <c r="T9" s="3">
        <v>17878938</v>
      </c>
    </row>
    <row r="10" spans="1:20" ht="18" hidden="1" customHeight="1" x14ac:dyDescent="0.45">
      <c r="A10" s="1">
        <v>9</v>
      </c>
      <c r="C10" s="1" t="s">
        <v>439</v>
      </c>
      <c r="D10" s="1" t="s">
        <v>28</v>
      </c>
      <c r="E10" s="1" t="s">
        <v>133</v>
      </c>
      <c r="F10" s="1">
        <f>SUM(H10:P10)</f>
        <v>38</v>
      </c>
      <c r="G10" s="1">
        <f>COUNTIF(I10:P10,1)</f>
        <v>1</v>
      </c>
      <c r="H10" s="1" t="s">
        <v>15</v>
      </c>
      <c r="I10" s="1">
        <v>11</v>
      </c>
      <c r="J10" s="1">
        <v>10</v>
      </c>
      <c r="K10" s="1" t="s">
        <v>16</v>
      </c>
      <c r="L10" s="1">
        <v>1</v>
      </c>
      <c r="M10" s="1">
        <v>3</v>
      </c>
      <c r="N10" s="1" t="s">
        <v>17</v>
      </c>
      <c r="O10" s="1">
        <v>7</v>
      </c>
      <c r="P10" s="1">
        <v>6</v>
      </c>
      <c r="R10" s="1" t="s">
        <v>440</v>
      </c>
      <c r="S10" s="3">
        <v>240347770</v>
      </c>
      <c r="T10" s="1">
        <v>0</v>
      </c>
    </row>
    <row r="11" spans="1:20" ht="18" hidden="1" customHeight="1" x14ac:dyDescent="0.45">
      <c r="A11" s="1">
        <v>50</v>
      </c>
      <c r="B11" s="14"/>
      <c r="C11" s="1" t="s">
        <v>58</v>
      </c>
      <c r="D11" s="1" t="s">
        <v>59</v>
      </c>
      <c r="E11" s="1" t="s">
        <v>60</v>
      </c>
      <c r="F11" s="1">
        <f>SUM(H11:P11)</f>
        <v>27</v>
      </c>
      <c r="G11" s="1">
        <v>1</v>
      </c>
      <c r="H11" s="1" t="s">
        <v>15</v>
      </c>
      <c r="I11" s="1">
        <v>1</v>
      </c>
      <c r="J11" s="1">
        <v>6</v>
      </c>
      <c r="K11" s="1" t="s">
        <v>16</v>
      </c>
      <c r="L11" s="1">
        <v>1</v>
      </c>
      <c r="M11" s="1">
        <v>8</v>
      </c>
      <c r="N11" s="1" t="s">
        <v>17</v>
      </c>
      <c r="O11" s="1">
        <v>1</v>
      </c>
      <c r="P11" s="1">
        <v>10</v>
      </c>
      <c r="T11" s="3">
        <v>10982629</v>
      </c>
    </row>
    <row r="12" spans="1:20" ht="18" hidden="1" customHeight="1" x14ac:dyDescent="0.45">
      <c r="A12" s="1">
        <v>11</v>
      </c>
      <c r="B12" s="1"/>
      <c r="C12" s="1" t="s">
        <v>390</v>
      </c>
      <c r="D12" s="1" t="s">
        <v>59</v>
      </c>
      <c r="E12" s="1" t="s">
        <v>97</v>
      </c>
      <c r="F12" s="1">
        <f>SUM(H12:P12)</f>
        <v>15</v>
      </c>
      <c r="G12" s="1">
        <f>COUNTIF(I12:P12,1)</f>
        <v>3</v>
      </c>
      <c r="H12" s="1" t="s">
        <v>15</v>
      </c>
      <c r="I12" s="1">
        <v>1</v>
      </c>
      <c r="J12" s="1">
        <v>3</v>
      </c>
      <c r="K12" s="1" t="s">
        <v>16</v>
      </c>
      <c r="L12" s="1">
        <v>3</v>
      </c>
      <c r="M12" s="1">
        <v>1</v>
      </c>
      <c r="N12" s="1" t="s">
        <v>17</v>
      </c>
      <c r="O12" s="1">
        <v>1</v>
      </c>
      <c r="P12" s="1">
        <v>6</v>
      </c>
      <c r="R12" s="1" t="s">
        <v>391</v>
      </c>
      <c r="S12" s="3">
        <v>67910</v>
      </c>
      <c r="T12" s="1">
        <v>0</v>
      </c>
    </row>
    <row r="13" spans="1:20" ht="18" hidden="1" customHeight="1" x14ac:dyDescent="0.45">
      <c r="A13" s="1">
        <v>73</v>
      </c>
      <c r="B13" s="14"/>
      <c r="C13" s="1" t="s">
        <v>95</v>
      </c>
      <c r="D13" s="1" t="s">
        <v>59</v>
      </c>
      <c r="E13" s="1" t="s">
        <v>57</v>
      </c>
      <c r="F13" s="1">
        <f>SUM(H13:P13)</f>
        <v>11</v>
      </c>
      <c r="G13" s="1">
        <f>COUNTIF(I13:P13,1)</f>
        <v>3</v>
      </c>
      <c r="H13" s="1" t="s">
        <v>15</v>
      </c>
      <c r="I13" s="1">
        <v>1</v>
      </c>
      <c r="J13" s="1">
        <v>2</v>
      </c>
      <c r="K13" s="1" t="s">
        <v>16</v>
      </c>
      <c r="L13" s="1">
        <v>1</v>
      </c>
      <c r="M13" s="1">
        <v>2</v>
      </c>
      <c r="N13" s="1" t="s">
        <v>17</v>
      </c>
      <c r="O13" s="1">
        <v>1</v>
      </c>
      <c r="P13" s="1">
        <v>4</v>
      </c>
      <c r="S13" s="3">
        <v>19020</v>
      </c>
    </row>
    <row r="14" spans="1:20" ht="18" hidden="1" customHeight="1" x14ac:dyDescent="0.45">
      <c r="A14" s="1">
        <v>13</v>
      </c>
      <c r="B14" s="1"/>
      <c r="C14" s="1" t="s">
        <v>394</v>
      </c>
      <c r="D14" s="1" t="s">
        <v>59</v>
      </c>
      <c r="E14" s="1" t="s">
        <v>395</v>
      </c>
      <c r="F14" s="1">
        <f>SUM(H14:P14)</f>
        <v>15</v>
      </c>
      <c r="G14" s="1">
        <f>COUNTIF(I14:P14,1)</f>
        <v>2</v>
      </c>
      <c r="H14" s="1" t="s">
        <v>15</v>
      </c>
      <c r="I14" s="1">
        <v>3</v>
      </c>
      <c r="J14" s="1">
        <v>2</v>
      </c>
      <c r="K14" s="1" t="s">
        <v>16</v>
      </c>
      <c r="L14" s="1">
        <v>1</v>
      </c>
      <c r="M14" s="1">
        <v>2</v>
      </c>
      <c r="N14" s="1" t="s">
        <v>17</v>
      </c>
      <c r="O14" s="1">
        <v>1</v>
      </c>
      <c r="P14" s="1">
        <v>6</v>
      </c>
      <c r="R14" s="1" t="s">
        <v>396</v>
      </c>
      <c r="S14" s="3">
        <v>190280</v>
      </c>
      <c r="T14" s="1">
        <v>0</v>
      </c>
    </row>
    <row r="15" spans="1:20" ht="18" hidden="1" customHeight="1" x14ac:dyDescent="0.45">
      <c r="A15" s="1">
        <v>54</v>
      </c>
      <c r="C15" s="1" t="s">
        <v>66</v>
      </c>
      <c r="D15" s="1" t="s">
        <v>59</v>
      </c>
      <c r="E15" s="1" t="s">
        <v>67</v>
      </c>
      <c r="F15" s="1">
        <f>SUM(H15:P15)</f>
        <v>22</v>
      </c>
      <c r="G15" s="1">
        <f>COUNTIF(I15:P15,1)</f>
        <v>2</v>
      </c>
      <c r="H15" s="1" t="s">
        <v>15</v>
      </c>
      <c r="I15" s="1">
        <v>1</v>
      </c>
      <c r="J15" s="1">
        <v>3</v>
      </c>
      <c r="K15" s="1" t="s">
        <v>16</v>
      </c>
      <c r="L15" s="1">
        <v>4</v>
      </c>
      <c r="M15" s="1">
        <v>3</v>
      </c>
      <c r="N15" s="1" t="s">
        <v>17</v>
      </c>
      <c r="O15" s="1">
        <v>1</v>
      </c>
      <c r="P15" s="1">
        <v>10</v>
      </c>
      <c r="S15" s="3">
        <v>1116635</v>
      </c>
    </row>
    <row r="16" spans="1:20" ht="18" hidden="1" customHeight="1" x14ac:dyDescent="0.45">
      <c r="A16" s="1">
        <v>15</v>
      </c>
      <c r="B16" s="1"/>
      <c r="C16" s="1" t="s">
        <v>410</v>
      </c>
      <c r="D16" s="1" t="s">
        <v>59</v>
      </c>
      <c r="E16" s="1" t="s">
        <v>108</v>
      </c>
      <c r="F16" s="1">
        <f>SUM(H16:P16)</f>
        <v>22</v>
      </c>
      <c r="G16" s="1">
        <f>COUNTIF(I16:P16,1)</f>
        <v>2</v>
      </c>
      <c r="H16" s="1" t="s">
        <v>15</v>
      </c>
      <c r="I16" s="1">
        <v>1</v>
      </c>
      <c r="J16" s="1">
        <v>10</v>
      </c>
      <c r="K16" s="1" t="s">
        <v>16</v>
      </c>
      <c r="L16" s="1">
        <v>2</v>
      </c>
      <c r="M16" s="1">
        <v>4</v>
      </c>
      <c r="N16" s="1" t="s">
        <v>17</v>
      </c>
      <c r="O16" s="1">
        <v>1</v>
      </c>
      <c r="P16" s="1">
        <v>4</v>
      </c>
      <c r="R16" s="1" t="s">
        <v>411</v>
      </c>
      <c r="S16" s="3">
        <v>914790</v>
      </c>
      <c r="T16" s="1">
        <v>0</v>
      </c>
    </row>
    <row r="17" spans="1:20" ht="18" hidden="1" customHeight="1" x14ac:dyDescent="0.45">
      <c r="A17" s="1">
        <v>16</v>
      </c>
      <c r="B17" s="20"/>
      <c r="C17" s="1" t="s">
        <v>445</v>
      </c>
      <c r="D17" s="1" t="s">
        <v>33</v>
      </c>
      <c r="E17" s="1" t="s">
        <v>360</v>
      </c>
      <c r="F17" s="1">
        <f>SUM(H17:P17)</f>
        <v>28</v>
      </c>
      <c r="G17" s="1">
        <f>COUNTIF(I17:P17,1)</f>
        <v>2</v>
      </c>
      <c r="H17" s="1" t="s">
        <v>15</v>
      </c>
      <c r="I17" s="1">
        <v>2</v>
      </c>
      <c r="J17" s="1">
        <v>14</v>
      </c>
      <c r="K17" s="1" t="s">
        <v>16</v>
      </c>
      <c r="L17" s="1">
        <v>1</v>
      </c>
      <c r="M17" s="1">
        <v>4</v>
      </c>
      <c r="N17" s="1" t="s">
        <v>17</v>
      </c>
      <c r="O17" s="1">
        <v>6</v>
      </c>
      <c r="P17" s="1">
        <v>1</v>
      </c>
      <c r="R17" s="1" t="s">
        <v>426</v>
      </c>
      <c r="T17" s="3">
        <v>11132100</v>
      </c>
    </row>
    <row r="18" spans="1:20" ht="18" hidden="1" customHeight="1" x14ac:dyDescent="0.45">
      <c r="A18" s="1">
        <v>53</v>
      </c>
      <c r="C18" s="1" t="s">
        <v>65</v>
      </c>
      <c r="D18" s="1" t="s">
        <v>59</v>
      </c>
      <c r="E18" s="1" t="s">
        <v>34</v>
      </c>
      <c r="F18" s="1">
        <f>SUM(H18:P18)</f>
        <v>11</v>
      </c>
      <c r="G18" s="1"/>
      <c r="H18" s="1" t="s">
        <v>15</v>
      </c>
      <c r="I18" s="1">
        <v>1</v>
      </c>
      <c r="J18" s="1">
        <v>2</v>
      </c>
      <c r="K18" s="1" t="s">
        <v>16</v>
      </c>
      <c r="L18" s="1">
        <v>1</v>
      </c>
      <c r="M18" s="1">
        <v>3</v>
      </c>
      <c r="N18" s="1" t="s">
        <v>17</v>
      </c>
      <c r="O18" s="1">
        <v>1</v>
      </c>
      <c r="P18" s="1">
        <v>3</v>
      </c>
      <c r="S18" s="3">
        <v>14935</v>
      </c>
    </row>
    <row r="19" spans="1:20" ht="18" hidden="1" customHeight="1" x14ac:dyDescent="0.45">
      <c r="A19" s="1">
        <v>18</v>
      </c>
      <c r="B19" s="4"/>
      <c r="C19" s="1" t="s">
        <v>399</v>
      </c>
      <c r="D19" s="1" t="s">
        <v>33</v>
      </c>
      <c r="E19" s="1" t="s">
        <v>400</v>
      </c>
      <c r="F19" s="1">
        <f>SUM(H19:P19)</f>
        <v>19</v>
      </c>
      <c r="G19" s="1">
        <f>COUNTIF(I19:P19,1)</f>
        <v>2</v>
      </c>
      <c r="H19" s="1" t="s">
        <v>15</v>
      </c>
      <c r="I19" s="1">
        <v>1</v>
      </c>
      <c r="J19" s="1">
        <v>5</v>
      </c>
      <c r="K19" s="1" t="s">
        <v>16</v>
      </c>
      <c r="L19" s="1">
        <v>1</v>
      </c>
      <c r="M19" s="1">
        <v>5</v>
      </c>
      <c r="N19" s="1" t="s">
        <v>17</v>
      </c>
      <c r="O19" s="1">
        <v>2</v>
      </c>
      <c r="P19" s="1">
        <v>5</v>
      </c>
      <c r="R19" s="1" t="s">
        <v>401</v>
      </c>
      <c r="S19" s="3">
        <v>408265</v>
      </c>
      <c r="T19" s="1">
        <v>0</v>
      </c>
    </row>
    <row r="20" spans="1:20" ht="18" hidden="1" customHeight="1" x14ac:dyDescent="0.45">
      <c r="A20" s="1">
        <v>19</v>
      </c>
      <c r="C20" s="1" t="s">
        <v>431</v>
      </c>
      <c r="D20" s="1" t="s">
        <v>33</v>
      </c>
      <c r="E20" s="1" t="s">
        <v>103</v>
      </c>
      <c r="F20" s="1">
        <f>SUM(H20:P20)</f>
        <v>16</v>
      </c>
      <c r="G20" s="1">
        <f>COUNTIF(I20:P20,1)</f>
        <v>2</v>
      </c>
      <c r="H20" s="1" t="s">
        <v>15</v>
      </c>
      <c r="I20" s="1">
        <v>3</v>
      </c>
      <c r="J20" s="1">
        <v>1</v>
      </c>
      <c r="K20" s="1" t="s">
        <v>16</v>
      </c>
      <c r="L20" s="1">
        <v>3</v>
      </c>
      <c r="M20" s="1">
        <v>4</v>
      </c>
      <c r="N20" s="1" t="s">
        <v>17</v>
      </c>
      <c r="O20" s="1">
        <v>4</v>
      </c>
      <c r="P20" s="1">
        <v>1</v>
      </c>
      <c r="R20" s="1" t="s">
        <v>432</v>
      </c>
      <c r="S20" s="3">
        <v>805945</v>
      </c>
      <c r="T20" s="1">
        <v>0</v>
      </c>
    </row>
    <row r="21" spans="1:20" ht="18" hidden="1" customHeight="1" x14ac:dyDescent="0.45">
      <c r="A21" s="1">
        <v>20</v>
      </c>
      <c r="B21" s="10"/>
      <c r="C21" s="1" t="s">
        <v>388</v>
      </c>
      <c r="D21" s="1" t="s">
        <v>33</v>
      </c>
      <c r="E21" s="1" t="s">
        <v>106</v>
      </c>
      <c r="F21" s="1">
        <f>SUM(H21:P21)</f>
        <v>14</v>
      </c>
      <c r="G21" s="1">
        <f>COUNTIF(I21:P21,1)</f>
        <v>2</v>
      </c>
      <c r="H21" s="1" t="s">
        <v>15</v>
      </c>
      <c r="I21" s="1">
        <v>1</v>
      </c>
      <c r="J21" s="1">
        <v>2</v>
      </c>
      <c r="K21" s="1" t="s">
        <v>16</v>
      </c>
      <c r="L21" s="1">
        <v>2</v>
      </c>
      <c r="M21" s="1">
        <v>4</v>
      </c>
      <c r="N21" s="1" t="s">
        <v>17</v>
      </c>
      <c r="O21" s="1">
        <v>4</v>
      </c>
      <c r="P21" s="1">
        <v>1</v>
      </c>
      <c r="R21" s="1" t="s">
        <v>389</v>
      </c>
      <c r="S21" s="3">
        <v>58485</v>
      </c>
      <c r="T21" s="1">
        <v>0</v>
      </c>
    </row>
    <row r="22" spans="1:20" ht="18" hidden="1" customHeight="1" x14ac:dyDescent="0.45">
      <c r="A22" s="1">
        <v>69</v>
      </c>
      <c r="C22" s="1" t="s">
        <v>91</v>
      </c>
      <c r="D22" s="1" t="s">
        <v>59</v>
      </c>
      <c r="E22" s="1" t="s">
        <v>69</v>
      </c>
      <c r="F22" s="1">
        <f>SUM(H22:P22)</f>
        <v>26</v>
      </c>
      <c r="G22" s="1"/>
      <c r="H22" s="1" t="s">
        <v>15</v>
      </c>
      <c r="I22" s="1">
        <v>3</v>
      </c>
      <c r="J22" s="1">
        <v>2</v>
      </c>
      <c r="K22" s="1" t="s">
        <v>16</v>
      </c>
      <c r="L22" s="1">
        <v>1</v>
      </c>
      <c r="M22" s="1">
        <v>6</v>
      </c>
      <c r="N22" s="1" t="s">
        <v>17</v>
      </c>
      <c r="O22" s="1">
        <v>4</v>
      </c>
      <c r="P22" s="1">
        <v>10</v>
      </c>
      <c r="S22" s="3">
        <v>4888770</v>
      </c>
    </row>
    <row r="23" spans="1:20" ht="18" hidden="1" customHeight="1" x14ac:dyDescent="0.45">
      <c r="A23" s="1">
        <v>72</v>
      </c>
      <c r="C23" s="1" t="s">
        <v>94</v>
      </c>
      <c r="D23" s="1" t="s">
        <v>59</v>
      </c>
      <c r="E23" s="1" t="s">
        <v>55</v>
      </c>
      <c r="F23" s="1">
        <f>SUM(H23:P23)</f>
        <v>18</v>
      </c>
      <c r="G23" s="1">
        <f>COUNTIF(I23:P23,1)</f>
        <v>3</v>
      </c>
      <c r="H23" s="1" t="s">
        <v>15</v>
      </c>
      <c r="I23" s="1">
        <v>1</v>
      </c>
      <c r="J23" s="1">
        <v>2</v>
      </c>
      <c r="K23" s="1" t="s">
        <v>16</v>
      </c>
      <c r="L23" s="1">
        <v>1</v>
      </c>
      <c r="M23" s="1">
        <v>3</v>
      </c>
      <c r="N23" s="1" t="s">
        <v>17</v>
      </c>
      <c r="O23" s="1">
        <v>1</v>
      </c>
      <c r="P23" s="1">
        <v>10</v>
      </c>
      <c r="S23" s="3">
        <v>117380</v>
      </c>
    </row>
    <row r="24" spans="1:20" ht="18" hidden="1" customHeight="1" x14ac:dyDescent="0.45">
      <c r="A24" s="1">
        <v>23</v>
      </c>
      <c r="B24" s="1"/>
      <c r="C24" s="1" t="s">
        <v>424</v>
      </c>
      <c r="D24" s="1" t="s">
        <v>28</v>
      </c>
      <c r="E24" s="1" t="s">
        <v>425</v>
      </c>
      <c r="F24" s="1">
        <f>SUM(H24:P24)</f>
        <v>23</v>
      </c>
      <c r="G24" s="1">
        <f>COUNTIF(I24:P24,1)</f>
        <v>2</v>
      </c>
      <c r="H24" s="1" t="s">
        <v>15</v>
      </c>
      <c r="I24" s="1">
        <v>1</v>
      </c>
      <c r="J24" s="1">
        <v>4</v>
      </c>
      <c r="K24" s="1" t="s">
        <v>16</v>
      </c>
      <c r="L24" s="1">
        <v>1</v>
      </c>
      <c r="M24" s="1">
        <v>3</v>
      </c>
      <c r="N24" s="1" t="s">
        <v>17</v>
      </c>
      <c r="O24" s="1">
        <v>9</v>
      </c>
      <c r="P24" s="1">
        <v>5</v>
      </c>
      <c r="R24" s="1" t="s">
        <v>426</v>
      </c>
      <c r="T24" s="3">
        <v>16512678</v>
      </c>
    </row>
    <row r="25" spans="1:20" ht="18" hidden="1" customHeight="1" x14ac:dyDescent="0.45">
      <c r="A25" s="1">
        <v>168</v>
      </c>
      <c r="C25" s="1" t="s">
        <v>220</v>
      </c>
      <c r="D25" s="1" t="s">
        <v>59</v>
      </c>
      <c r="E25" s="1" t="s">
        <v>207</v>
      </c>
      <c r="F25" s="1">
        <f>SUM(H25:P25)</f>
        <v>25</v>
      </c>
      <c r="G25" s="1">
        <f>COUNTIF(I25:P25,1)</f>
        <v>3</v>
      </c>
      <c r="H25" s="1" t="s">
        <v>15</v>
      </c>
      <c r="I25" s="1">
        <v>1</v>
      </c>
      <c r="J25" s="1">
        <v>7</v>
      </c>
      <c r="K25" s="1" t="s">
        <v>16</v>
      </c>
      <c r="L25" s="1">
        <v>1</v>
      </c>
      <c r="M25" s="1">
        <v>5</v>
      </c>
      <c r="N25" s="1" t="s">
        <v>17</v>
      </c>
      <c r="O25" s="1">
        <v>1</v>
      </c>
      <c r="P25" s="1">
        <v>10</v>
      </c>
      <c r="T25" s="3">
        <v>11551526</v>
      </c>
    </row>
    <row r="26" spans="1:20" ht="18" hidden="1" customHeight="1" x14ac:dyDescent="0.45">
      <c r="A26" s="1">
        <v>25</v>
      </c>
      <c r="C26" s="1" t="s">
        <v>435</v>
      </c>
      <c r="D26" s="1" t="s">
        <v>28</v>
      </c>
      <c r="E26" s="1" t="s">
        <v>34</v>
      </c>
      <c r="F26" s="1">
        <f>SUM(H26:P26)</f>
        <v>18</v>
      </c>
      <c r="G26" s="1">
        <f>COUNTIF(I26:P26,1)</f>
        <v>2</v>
      </c>
      <c r="H26" s="1" t="s">
        <v>15</v>
      </c>
      <c r="I26" s="1">
        <v>1</v>
      </c>
      <c r="J26" s="1">
        <v>5</v>
      </c>
      <c r="K26" s="1" t="s">
        <v>16</v>
      </c>
      <c r="L26" s="1">
        <v>6</v>
      </c>
      <c r="M26" s="1">
        <v>1</v>
      </c>
      <c r="N26" s="1" t="s">
        <v>17</v>
      </c>
      <c r="O26" s="1">
        <v>3</v>
      </c>
      <c r="P26" s="1">
        <v>2</v>
      </c>
      <c r="R26" s="1" t="s">
        <v>436</v>
      </c>
      <c r="S26" s="3">
        <v>1930215</v>
      </c>
      <c r="T26" s="1">
        <v>0</v>
      </c>
    </row>
    <row r="27" spans="1:20" ht="18" hidden="1" customHeight="1" x14ac:dyDescent="0.45">
      <c r="A27" s="1">
        <v>26</v>
      </c>
      <c r="B27" s="11"/>
      <c r="C27" s="1" t="s">
        <v>418</v>
      </c>
      <c r="D27" s="1" t="s">
        <v>28</v>
      </c>
      <c r="E27" s="1" t="s">
        <v>67</v>
      </c>
      <c r="F27" s="1">
        <f>SUM(H27:P27)</f>
        <v>17</v>
      </c>
      <c r="G27" s="1">
        <f>COUNTIF(I27:P27,1)</f>
        <v>1</v>
      </c>
      <c r="H27" s="1" t="s">
        <v>15</v>
      </c>
      <c r="I27" s="1">
        <v>2</v>
      </c>
      <c r="J27" s="1">
        <v>5</v>
      </c>
      <c r="K27" s="1" t="s">
        <v>16</v>
      </c>
      <c r="L27" s="1">
        <v>2</v>
      </c>
      <c r="M27" s="1">
        <v>3</v>
      </c>
      <c r="N27" s="1" t="s">
        <v>17</v>
      </c>
      <c r="O27" s="1">
        <v>4</v>
      </c>
      <c r="P27" s="1">
        <v>1</v>
      </c>
      <c r="R27" s="1" t="s">
        <v>419</v>
      </c>
      <c r="S27" s="3">
        <v>6673580</v>
      </c>
      <c r="T27" s="1">
        <v>0</v>
      </c>
    </row>
    <row r="28" spans="1:20" ht="18" hidden="1" customHeight="1" x14ac:dyDescent="0.45">
      <c r="A28" s="1">
        <v>283</v>
      </c>
      <c r="C28" s="1" t="s">
        <v>352</v>
      </c>
      <c r="D28" s="1" t="s">
        <v>28</v>
      </c>
      <c r="E28" s="1" t="s">
        <v>105</v>
      </c>
      <c r="F28" s="1">
        <f>SUM(H28:P28)</f>
        <v>10</v>
      </c>
      <c r="G28" s="1"/>
      <c r="H28" s="1" t="s">
        <v>15</v>
      </c>
      <c r="I28" s="1">
        <v>1</v>
      </c>
      <c r="J28" s="1">
        <v>2</v>
      </c>
      <c r="K28" s="1" t="s">
        <v>16</v>
      </c>
      <c r="L28" s="1">
        <v>1</v>
      </c>
      <c r="M28" s="1">
        <v>3</v>
      </c>
      <c r="N28" s="1" t="s">
        <v>17</v>
      </c>
      <c r="O28" s="1">
        <v>1</v>
      </c>
      <c r="P28" s="1">
        <v>2</v>
      </c>
      <c r="S28" s="3">
        <v>16755</v>
      </c>
    </row>
    <row r="29" spans="1:20" ht="18" hidden="1" customHeight="1" x14ac:dyDescent="0.45">
      <c r="A29" s="1">
        <v>28</v>
      </c>
      <c r="C29" s="1" t="s">
        <v>447</v>
      </c>
      <c r="D29" s="1" t="s">
        <v>33</v>
      </c>
      <c r="E29" s="1" t="s">
        <v>115</v>
      </c>
      <c r="F29" s="1">
        <f>SUM(H29:P29)</f>
        <v>23</v>
      </c>
      <c r="G29" s="1">
        <f>COUNTIF(I29:P29,1)</f>
        <v>1</v>
      </c>
      <c r="H29" s="1" t="s">
        <v>15</v>
      </c>
      <c r="I29" s="1">
        <v>3</v>
      </c>
      <c r="J29" s="1">
        <v>9</v>
      </c>
      <c r="K29" s="1" t="s">
        <v>16</v>
      </c>
      <c r="L29" s="1">
        <v>1</v>
      </c>
      <c r="M29" s="1">
        <v>2</v>
      </c>
      <c r="N29" s="1" t="s">
        <v>17</v>
      </c>
      <c r="O29" s="1">
        <v>5</v>
      </c>
      <c r="P29" s="1">
        <v>3</v>
      </c>
      <c r="R29" s="1" t="s">
        <v>426</v>
      </c>
      <c r="T29" s="3">
        <v>13003683</v>
      </c>
    </row>
    <row r="30" spans="1:20" ht="18" hidden="1" customHeight="1" x14ac:dyDescent="0.45">
      <c r="A30" s="1">
        <v>29</v>
      </c>
      <c r="B30" s="1"/>
      <c r="C30" s="1" t="s">
        <v>402</v>
      </c>
      <c r="D30" s="1" t="s">
        <v>33</v>
      </c>
      <c r="E30" s="1" t="s">
        <v>120</v>
      </c>
      <c r="F30" s="1">
        <f>SUM(H30:P30)</f>
        <v>18</v>
      </c>
      <c r="G30" s="1">
        <f>COUNTIF(I30:P30,1)</f>
        <v>3</v>
      </c>
      <c r="H30" s="1" t="s">
        <v>15</v>
      </c>
      <c r="I30" s="1">
        <v>1</v>
      </c>
      <c r="J30" s="1">
        <v>3</v>
      </c>
      <c r="K30" s="1" t="s">
        <v>16</v>
      </c>
      <c r="L30" s="1">
        <v>1</v>
      </c>
      <c r="M30" s="1">
        <v>6</v>
      </c>
      <c r="N30" s="1" t="s">
        <v>17</v>
      </c>
      <c r="O30" s="1">
        <v>1</v>
      </c>
      <c r="P30" s="1">
        <v>6</v>
      </c>
      <c r="R30" s="1" t="s">
        <v>403</v>
      </c>
      <c r="S30" s="3">
        <v>436865</v>
      </c>
      <c r="T30" s="1">
        <v>0</v>
      </c>
    </row>
    <row r="31" spans="1:20" ht="18" hidden="1" customHeight="1" x14ac:dyDescent="0.45">
      <c r="A31" s="1">
        <v>30</v>
      </c>
      <c r="B31" s="10"/>
      <c r="C31" s="1" t="s">
        <v>404</v>
      </c>
      <c r="D31" s="1" t="s">
        <v>33</v>
      </c>
      <c r="E31" s="1" t="s">
        <v>123</v>
      </c>
      <c r="F31" s="1">
        <f>SUM(H31:P31)</f>
        <v>17</v>
      </c>
      <c r="G31" s="1">
        <f>COUNTIF(I31:P31,1)</f>
        <v>2</v>
      </c>
      <c r="H31" s="1" t="s">
        <v>15</v>
      </c>
      <c r="I31" s="1">
        <v>1</v>
      </c>
      <c r="J31" s="1">
        <v>4</v>
      </c>
      <c r="K31" s="1" t="s">
        <v>16</v>
      </c>
      <c r="L31" s="1">
        <v>1</v>
      </c>
      <c r="M31" s="1">
        <v>2</v>
      </c>
      <c r="N31" s="1" t="s">
        <v>17</v>
      </c>
      <c r="O31" s="1">
        <v>4</v>
      </c>
      <c r="P31" s="1">
        <v>5</v>
      </c>
      <c r="Q31" s="1">
        <v>1</v>
      </c>
      <c r="R31" s="1" t="s">
        <v>405</v>
      </c>
      <c r="S31" s="3">
        <v>461980</v>
      </c>
      <c r="T31" s="1">
        <v>0</v>
      </c>
    </row>
    <row r="32" spans="1:20" ht="18" hidden="1" customHeight="1" x14ac:dyDescent="0.45">
      <c r="A32" s="1">
        <v>31</v>
      </c>
      <c r="C32" s="1" t="s">
        <v>448</v>
      </c>
      <c r="D32" s="1" t="s">
        <v>33</v>
      </c>
      <c r="E32" s="1" t="s">
        <v>40</v>
      </c>
      <c r="F32" s="1">
        <f>SUM(H32:P32)</f>
        <v>31</v>
      </c>
      <c r="G32" s="1">
        <f>COUNTIF(I32:P32,1)</f>
        <v>2</v>
      </c>
      <c r="H32" s="1" t="s">
        <v>15</v>
      </c>
      <c r="I32" s="1">
        <v>1</v>
      </c>
      <c r="J32" s="1">
        <v>9</v>
      </c>
      <c r="K32" s="1" t="s">
        <v>16</v>
      </c>
      <c r="L32" s="1">
        <v>2</v>
      </c>
      <c r="M32" s="1">
        <v>1</v>
      </c>
      <c r="N32" s="1" t="s">
        <v>17</v>
      </c>
      <c r="O32" s="1">
        <v>11</v>
      </c>
      <c r="P32" s="1">
        <v>7</v>
      </c>
      <c r="R32" s="1" t="s">
        <v>426</v>
      </c>
      <c r="T32" s="3">
        <v>16644089</v>
      </c>
    </row>
    <row r="33" spans="1:20" ht="18" customHeight="1" x14ac:dyDescent="0.45">
      <c r="A33" s="1">
        <v>32</v>
      </c>
      <c r="B33" s="1"/>
      <c r="C33" s="1" t="s">
        <v>386</v>
      </c>
      <c r="D33" s="1" t="s">
        <v>25</v>
      </c>
      <c r="E33" s="1" t="s">
        <v>62</v>
      </c>
      <c r="F33" s="1">
        <f>SUM(H33:P33)</f>
        <v>16</v>
      </c>
      <c r="G33" s="1">
        <f>COUNTIF(I33:P33,1)</f>
        <v>3</v>
      </c>
      <c r="H33" s="1" t="s">
        <v>15</v>
      </c>
      <c r="I33" s="1">
        <v>1</v>
      </c>
      <c r="J33" s="1">
        <v>4</v>
      </c>
      <c r="K33" s="1" t="s">
        <v>16</v>
      </c>
      <c r="L33" s="1">
        <v>1</v>
      </c>
      <c r="M33" s="1">
        <v>2</v>
      </c>
      <c r="N33" s="1" t="s">
        <v>17</v>
      </c>
      <c r="O33" s="1">
        <v>1</v>
      </c>
      <c r="P33" s="1">
        <v>7</v>
      </c>
      <c r="R33" s="1" t="s">
        <v>387</v>
      </c>
      <c r="S33" s="3">
        <v>51860</v>
      </c>
      <c r="T33" s="1"/>
    </row>
    <row r="34" spans="1:20" ht="18" customHeight="1" x14ac:dyDescent="0.45">
      <c r="A34" s="1">
        <v>33</v>
      </c>
      <c r="C34" s="1" t="s">
        <v>429</v>
      </c>
      <c r="D34" s="1" t="s">
        <v>25</v>
      </c>
      <c r="E34" s="1" t="s">
        <v>64</v>
      </c>
      <c r="F34" s="1">
        <f>SUM(H34:P34)</f>
        <v>11</v>
      </c>
      <c r="G34" s="1">
        <f>COUNTIF(I34:P34,1)</f>
        <v>3</v>
      </c>
      <c r="H34" s="1" t="s">
        <v>15</v>
      </c>
      <c r="I34" s="1">
        <v>2</v>
      </c>
      <c r="J34" s="1">
        <v>1</v>
      </c>
      <c r="K34" s="1" t="s">
        <v>16</v>
      </c>
      <c r="L34" s="1">
        <v>1</v>
      </c>
      <c r="M34" s="1">
        <v>4</v>
      </c>
      <c r="N34" s="1" t="s">
        <v>17</v>
      </c>
      <c r="O34" s="1">
        <v>1</v>
      </c>
      <c r="P34" s="1">
        <v>2</v>
      </c>
      <c r="Q34" s="1">
        <v>1</v>
      </c>
      <c r="R34" s="1" t="s">
        <v>430</v>
      </c>
      <c r="S34" s="3">
        <v>46510</v>
      </c>
      <c r="T34" s="1">
        <v>0</v>
      </c>
    </row>
    <row r="35" spans="1:20" ht="18" customHeight="1" x14ac:dyDescent="0.45">
      <c r="A35" s="1">
        <v>34</v>
      </c>
      <c r="C35" s="1" t="s">
        <v>449</v>
      </c>
      <c r="D35" s="1" t="s">
        <v>25</v>
      </c>
      <c r="E35" s="1" t="s">
        <v>450</v>
      </c>
      <c r="F35" s="1">
        <f>SUM(H35:P35)</f>
        <v>30</v>
      </c>
      <c r="G35" s="1">
        <f>COUNTIF(I35:P35,1)</f>
        <v>1</v>
      </c>
      <c r="H35" s="1" t="s">
        <v>15</v>
      </c>
      <c r="I35" s="1">
        <v>1</v>
      </c>
      <c r="J35" s="1">
        <v>7</v>
      </c>
      <c r="K35" s="1" t="s">
        <v>16</v>
      </c>
      <c r="L35" s="1">
        <v>10</v>
      </c>
      <c r="M35" s="1">
        <v>4</v>
      </c>
      <c r="N35" s="1" t="s">
        <v>17</v>
      </c>
      <c r="O35" s="1">
        <v>2</v>
      </c>
      <c r="P35" s="1">
        <v>6</v>
      </c>
      <c r="R35" s="1" t="s">
        <v>426</v>
      </c>
      <c r="T35" s="3">
        <v>10567046</v>
      </c>
    </row>
    <row r="36" spans="1:20" ht="18" hidden="1" customHeight="1" x14ac:dyDescent="0.45">
      <c r="A36" s="1">
        <v>27</v>
      </c>
      <c r="C36" s="1" t="s">
        <v>427</v>
      </c>
      <c r="D36" s="1" t="s">
        <v>33</v>
      </c>
      <c r="E36" s="1" t="s">
        <v>113</v>
      </c>
      <c r="F36" s="1">
        <f>SUM(H36:P36)</f>
        <v>9</v>
      </c>
      <c r="G36" s="1">
        <f>COUNTIF(I36:P36,1)</f>
        <v>3</v>
      </c>
      <c r="H36" s="1" t="s">
        <v>15</v>
      </c>
      <c r="I36" s="1">
        <v>2</v>
      </c>
      <c r="J36" s="1">
        <v>1</v>
      </c>
      <c r="K36" s="1" t="s">
        <v>16</v>
      </c>
      <c r="L36" s="1">
        <v>1</v>
      </c>
      <c r="M36" s="1">
        <v>2</v>
      </c>
      <c r="N36" s="1" t="s">
        <v>17</v>
      </c>
      <c r="O36" s="1">
        <v>2</v>
      </c>
      <c r="P36" s="1">
        <v>1</v>
      </c>
      <c r="Q36" s="1">
        <v>1</v>
      </c>
      <c r="R36" s="1" t="s">
        <v>428</v>
      </c>
      <c r="S36" s="3">
        <v>18180</v>
      </c>
      <c r="T36" s="1">
        <v>0</v>
      </c>
    </row>
    <row r="37" spans="1:20" ht="18" hidden="1" customHeight="1" x14ac:dyDescent="0.45">
      <c r="A37" s="1">
        <v>36</v>
      </c>
      <c r="B37" s="1"/>
      <c r="C37" s="1" t="s">
        <v>397</v>
      </c>
      <c r="D37" s="1" t="s">
        <v>59</v>
      </c>
      <c r="E37" s="1" t="s">
        <v>129</v>
      </c>
      <c r="F37" s="1">
        <f>SUM(H37:P37)</f>
        <v>21</v>
      </c>
      <c r="G37" s="1">
        <f>COUNTIF(I37:P37,1)</f>
        <v>3</v>
      </c>
      <c r="H37" s="1" t="s">
        <v>15</v>
      </c>
      <c r="I37" s="1">
        <v>1</v>
      </c>
      <c r="J37" s="1">
        <v>10</v>
      </c>
      <c r="K37" s="1" t="s">
        <v>16</v>
      </c>
      <c r="L37" s="1">
        <v>3</v>
      </c>
      <c r="M37" s="1">
        <v>1</v>
      </c>
      <c r="N37" s="1" t="s">
        <v>17</v>
      </c>
      <c r="O37" s="1">
        <v>1</v>
      </c>
      <c r="P37" s="1">
        <v>5</v>
      </c>
      <c r="R37" s="1" t="s">
        <v>398</v>
      </c>
      <c r="S37" s="3">
        <v>307975</v>
      </c>
      <c r="T37" s="1">
        <v>0</v>
      </c>
    </row>
    <row r="38" spans="1:20" ht="18" hidden="1" customHeight="1" x14ac:dyDescent="0.45">
      <c r="A38" s="1">
        <v>37</v>
      </c>
      <c r="C38" s="1" t="s">
        <v>437</v>
      </c>
      <c r="D38" s="1" t="s">
        <v>59</v>
      </c>
      <c r="E38" s="1" t="s">
        <v>438</v>
      </c>
      <c r="F38" s="1">
        <f>SUM(H38:P38)</f>
        <v>27</v>
      </c>
      <c r="G38" s="1">
        <f>COUNTIF(I38:P38,1)</f>
        <v>2</v>
      </c>
      <c r="H38" s="1" t="s">
        <v>15</v>
      </c>
      <c r="I38" s="1">
        <v>1</v>
      </c>
      <c r="J38" s="1">
        <v>9</v>
      </c>
      <c r="K38" s="1" t="s">
        <v>16</v>
      </c>
      <c r="L38" s="1">
        <v>1</v>
      </c>
      <c r="M38" s="1">
        <v>10</v>
      </c>
      <c r="N38" s="1" t="s">
        <v>17</v>
      </c>
      <c r="O38" s="1">
        <v>2</v>
      </c>
      <c r="P38" s="1">
        <v>4</v>
      </c>
      <c r="R38" s="1" t="s">
        <v>419</v>
      </c>
      <c r="S38" s="3">
        <v>8381070</v>
      </c>
      <c r="T38" s="1">
        <v>0</v>
      </c>
    </row>
    <row r="39" spans="1:20" ht="18" hidden="1" customHeight="1" x14ac:dyDescent="0.45">
      <c r="A39" s="1">
        <v>156</v>
      </c>
      <c r="C39" s="1" t="s">
        <v>204</v>
      </c>
      <c r="D39" s="1" t="s">
        <v>28</v>
      </c>
      <c r="E39" s="1" t="s">
        <v>187</v>
      </c>
      <c r="F39" s="1">
        <f>SUM(H39:P39)</f>
        <v>14</v>
      </c>
      <c r="G39" s="1">
        <f>COUNTIF(I39:P39,1)</f>
        <v>3</v>
      </c>
      <c r="H39" s="1" t="s">
        <v>15</v>
      </c>
      <c r="I39" s="1">
        <v>1</v>
      </c>
      <c r="J39" s="1">
        <v>4</v>
      </c>
      <c r="K39" s="1" t="s">
        <v>16</v>
      </c>
      <c r="L39" s="1">
        <v>1</v>
      </c>
      <c r="M39" s="1">
        <v>3</v>
      </c>
      <c r="N39" s="1" t="s">
        <v>17</v>
      </c>
      <c r="O39" s="1">
        <v>1</v>
      </c>
      <c r="P39" s="1">
        <v>4</v>
      </c>
      <c r="S39" s="3">
        <v>57820</v>
      </c>
    </row>
    <row r="40" spans="1:20" ht="18" hidden="1" customHeight="1" x14ac:dyDescent="0.45">
      <c r="A40" s="1">
        <v>39</v>
      </c>
      <c r="B40" s="10"/>
      <c r="C40" s="1" t="s">
        <v>433</v>
      </c>
      <c r="D40" s="1" t="s">
        <v>59</v>
      </c>
      <c r="E40" s="1" t="s">
        <v>135</v>
      </c>
      <c r="F40" s="1">
        <f>SUM(H40:P40)</f>
        <v>19</v>
      </c>
      <c r="G40" s="1"/>
      <c r="H40" s="1" t="s">
        <v>15</v>
      </c>
      <c r="I40" s="1">
        <v>1</v>
      </c>
      <c r="J40" s="1">
        <v>3</v>
      </c>
      <c r="K40" s="1" t="s">
        <v>16</v>
      </c>
      <c r="L40" s="1">
        <v>4</v>
      </c>
      <c r="M40" s="1">
        <v>2</v>
      </c>
      <c r="N40" s="1" t="s">
        <v>17</v>
      </c>
      <c r="O40" s="1">
        <v>2</v>
      </c>
      <c r="P40" s="1">
        <v>7</v>
      </c>
      <c r="R40" s="1" t="s">
        <v>434</v>
      </c>
      <c r="S40" s="3">
        <v>887855</v>
      </c>
      <c r="T40" s="1"/>
    </row>
    <row r="41" spans="1:20" ht="18" hidden="1" customHeight="1" x14ac:dyDescent="0.45">
      <c r="A41" s="1">
        <v>40</v>
      </c>
      <c r="C41" s="1" t="s">
        <v>41</v>
      </c>
      <c r="D41" s="1" t="s">
        <v>33</v>
      </c>
      <c r="E41" s="1" t="s">
        <v>42</v>
      </c>
      <c r="F41" s="1">
        <f>SUM(H41:P41)</f>
        <v>24</v>
      </c>
      <c r="G41" s="1">
        <f>COUNTIF(I41:P41,1)</f>
        <v>1</v>
      </c>
      <c r="H41" s="1" t="s">
        <v>36</v>
      </c>
      <c r="I41" s="1">
        <v>1</v>
      </c>
      <c r="J41" s="1">
        <v>6</v>
      </c>
      <c r="K41" s="1" t="s">
        <v>15</v>
      </c>
      <c r="L41" s="1">
        <v>2</v>
      </c>
      <c r="M41" s="1">
        <v>3</v>
      </c>
      <c r="N41" s="1" t="s">
        <v>16</v>
      </c>
      <c r="O41" s="1">
        <v>8</v>
      </c>
      <c r="P41" s="1">
        <v>4</v>
      </c>
      <c r="S41" s="3">
        <v>3330875</v>
      </c>
    </row>
    <row r="42" spans="1:20" ht="18" hidden="1" customHeight="1" x14ac:dyDescent="0.45">
      <c r="A42" s="1">
        <v>41</v>
      </c>
      <c r="C42" s="1" t="s">
        <v>43</v>
      </c>
      <c r="D42" s="1" t="s">
        <v>33</v>
      </c>
      <c r="E42" s="1" t="s">
        <v>44</v>
      </c>
      <c r="F42" s="1">
        <f>SUM(H42:P42)</f>
        <v>31</v>
      </c>
      <c r="G42" s="1"/>
      <c r="H42" s="1" t="s">
        <v>36</v>
      </c>
      <c r="I42" s="1">
        <v>1</v>
      </c>
      <c r="J42" s="1">
        <v>6</v>
      </c>
      <c r="K42" s="1" t="s">
        <v>15</v>
      </c>
      <c r="L42" s="1">
        <v>4</v>
      </c>
      <c r="M42" s="1">
        <v>16</v>
      </c>
      <c r="N42" s="1" t="s">
        <v>16</v>
      </c>
      <c r="O42" s="1">
        <v>3</v>
      </c>
      <c r="P42" s="1">
        <v>1</v>
      </c>
      <c r="S42" s="3">
        <v>17268480</v>
      </c>
    </row>
    <row r="43" spans="1:20" ht="18" hidden="1" customHeight="1" x14ac:dyDescent="0.45">
      <c r="A43" s="1">
        <v>42</v>
      </c>
      <c r="C43" s="1" t="s">
        <v>45</v>
      </c>
      <c r="D43" s="1" t="s">
        <v>33</v>
      </c>
      <c r="E43" s="1" t="s">
        <v>46</v>
      </c>
      <c r="F43" s="1">
        <f>SUM(H43:P43)</f>
        <v>17</v>
      </c>
      <c r="G43" s="1">
        <f>COUNTIF(I43:P43,1)</f>
        <v>3</v>
      </c>
      <c r="H43" s="1" t="s">
        <v>35</v>
      </c>
      <c r="I43" s="1">
        <v>1</v>
      </c>
      <c r="J43" s="1">
        <v>3</v>
      </c>
      <c r="K43" s="1" t="s">
        <v>36</v>
      </c>
      <c r="L43" s="1">
        <v>7</v>
      </c>
      <c r="M43" s="1">
        <v>1</v>
      </c>
      <c r="N43" s="1" t="s">
        <v>15</v>
      </c>
      <c r="O43" s="1">
        <v>1</v>
      </c>
      <c r="P43" s="1">
        <v>4</v>
      </c>
      <c r="S43" s="3">
        <v>1794675</v>
      </c>
    </row>
    <row r="44" spans="1:20" ht="18" hidden="1" customHeight="1" x14ac:dyDescent="0.45">
      <c r="A44" s="1">
        <v>43</v>
      </c>
      <c r="C44" s="1" t="s">
        <v>47</v>
      </c>
      <c r="D44" s="1" t="s">
        <v>33</v>
      </c>
      <c r="E44" s="1" t="s">
        <v>48</v>
      </c>
      <c r="F44" s="1">
        <f>SUM(H44:P44)</f>
        <v>14</v>
      </c>
      <c r="G44" s="1"/>
      <c r="H44" s="1" t="s">
        <v>35</v>
      </c>
      <c r="I44" s="1">
        <v>3</v>
      </c>
      <c r="J44" s="1">
        <v>2</v>
      </c>
      <c r="K44" s="1" t="s">
        <v>36</v>
      </c>
      <c r="L44" s="1">
        <v>5</v>
      </c>
      <c r="M44" s="1">
        <v>1</v>
      </c>
      <c r="N44" s="1" t="s">
        <v>15</v>
      </c>
      <c r="O44" s="1">
        <v>2</v>
      </c>
      <c r="P44" s="1">
        <v>1</v>
      </c>
      <c r="S44" s="3">
        <v>576045</v>
      </c>
    </row>
    <row r="45" spans="1:20" ht="18" customHeight="1" x14ac:dyDescent="0.45">
      <c r="A45" s="1">
        <v>44</v>
      </c>
      <c r="C45" s="1" t="s">
        <v>49</v>
      </c>
      <c r="D45" s="1" t="s">
        <v>25</v>
      </c>
      <c r="E45" s="1" t="s">
        <v>50</v>
      </c>
      <c r="F45" s="1">
        <f>SUM(H45:P45)</f>
        <v>16</v>
      </c>
      <c r="G45" s="1"/>
      <c r="H45" s="1" t="s">
        <v>15</v>
      </c>
      <c r="I45" s="1">
        <v>3</v>
      </c>
      <c r="J45" s="1">
        <v>1</v>
      </c>
      <c r="K45" s="1" t="s">
        <v>16</v>
      </c>
      <c r="L45" s="1">
        <v>5</v>
      </c>
      <c r="M45" s="1">
        <v>3</v>
      </c>
      <c r="N45" s="1" t="s">
        <v>17</v>
      </c>
      <c r="O45" s="1">
        <v>3</v>
      </c>
      <c r="P45" s="1">
        <v>1</v>
      </c>
      <c r="S45" s="2">
        <v>569215</v>
      </c>
      <c r="T45" s="2"/>
    </row>
    <row r="46" spans="1:20" ht="18" hidden="1" customHeight="1" x14ac:dyDescent="0.45">
      <c r="A46" s="1">
        <v>290</v>
      </c>
      <c r="C46" s="1" t="s">
        <v>359</v>
      </c>
      <c r="D46" s="1" t="s">
        <v>33</v>
      </c>
      <c r="E46" s="1" t="s">
        <v>360</v>
      </c>
      <c r="F46" s="1">
        <f>SUM(H46:P46)</f>
        <v>11</v>
      </c>
      <c r="G46" s="1">
        <f>COUNTIF(I46:P46,1)</f>
        <v>3</v>
      </c>
      <c r="H46" s="1" t="s">
        <v>15</v>
      </c>
      <c r="I46" s="1">
        <v>1</v>
      </c>
      <c r="J46" s="1">
        <v>2</v>
      </c>
      <c r="K46" s="1" t="s">
        <v>16</v>
      </c>
      <c r="L46" s="1">
        <v>2</v>
      </c>
      <c r="M46" s="1">
        <v>1</v>
      </c>
      <c r="N46" s="1" t="s">
        <v>17</v>
      </c>
      <c r="O46" s="1">
        <v>1</v>
      </c>
      <c r="P46" s="1">
        <v>4</v>
      </c>
      <c r="S46" s="3">
        <v>61745</v>
      </c>
    </row>
    <row r="47" spans="1:20" ht="18" customHeight="1" x14ac:dyDescent="0.45">
      <c r="A47" s="1">
        <v>46</v>
      </c>
      <c r="C47" s="1" t="s">
        <v>51</v>
      </c>
      <c r="D47" s="1" t="s">
        <v>25</v>
      </c>
      <c r="E47" s="1" t="s">
        <v>52</v>
      </c>
      <c r="F47" s="1">
        <f>SUM(H47:P47)</f>
        <v>19</v>
      </c>
      <c r="G47" s="1"/>
      <c r="H47" s="1" t="s">
        <v>15</v>
      </c>
      <c r="I47" s="1">
        <v>3</v>
      </c>
      <c r="J47" s="1">
        <v>1</v>
      </c>
      <c r="K47" s="1" t="s">
        <v>16</v>
      </c>
      <c r="L47" s="1">
        <v>2</v>
      </c>
      <c r="M47" s="1">
        <v>9</v>
      </c>
      <c r="N47" s="1" t="s">
        <v>17</v>
      </c>
      <c r="O47" s="1">
        <v>1</v>
      </c>
      <c r="P47" s="1">
        <v>3</v>
      </c>
      <c r="S47" s="2">
        <v>200815</v>
      </c>
      <c r="T47" s="2"/>
    </row>
    <row r="48" spans="1:20" ht="18" hidden="1" customHeight="1" x14ac:dyDescent="0.45">
      <c r="A48" s="1">
        <v>47</v>
      </c>
      <c r="C48" s="1" t="s">
        <v>51</v>
      </c>
      <c r="D48" s="1" t="s">
        <v>33</v>
      </c>
      <c r="E48" s="1" t="s">
        <v>53</v>
      </c>
      <c r="F48" s="1">
        <f>SUM(H48:P48)</f>
        <v>19</v>
      </c>
      <c r="G48" s="1"/>
      <c r="H48" s="1" t="s">
        <v>35</v>
      </c>
      <c r="I48" s="1">
        <v>1</v>
      </c>
      <c r="J48" s="1">
        <v>9</v>
      </c>
      <c r="K48" s="1" t="s">
        <v>36</v>
      </c>
      <c r="L48" s="1">
        <v>1</v>
      </c>
      <c r="M48" s="1">
        <v>2</v>
      </c>
      <c r="N48" s="1" t="s">
        <v>15</v>
      </c>
      <c r="O48" s="1">
        <v>5</v>
      </c>
      <c r="P48" s="1">
        <v>1</v>
      </c>
      <c r="Q48" s="1">
        <v>1</v>
      </c>
      <c r="S48" s="3">
        <v>921890</v>
      </c>
    </row>
    <row r="49" spans="1:20" ht="18" customHeight="1" x14ac:dyDescent="0.45">
      <c r="A49" s="1">
        <v>48</v>
      </c>
      <c r="C49" s="1" t="s">
        <v>54</v>
      </c>
      <c r="D49" s="1" t="s">
        <v>25</v>
      </c>
      <c r="E49" s="1" t="s">
        <v>55</v>
      </c>
      <c r="F49" s="1">
        <f>SUM(H49:P49)</f>
        <v>17</v>
      </c>
      <c r="G49" s="1">
        <f>COUNTIF(I49:P49,1)</f>
        <v>2</v>
      </c>
      <c r="H49" s="1" t="s">
        <v>15</v>
      </c>
      <c r="I49" s="1">
        <v>7</v>
      </c>
      <c r="J49" s="1">
        <v>2</v>
      </c>
      <c r="K49" s="1" t="s">
        <v>16</v>
      </c>
      <c r="L49" s="1">
        <v>1</v>
      </c>
      <c r="M49" s="1">
        <v>2</v>
      </c>
      <c r="N49" s="1" t="s">
        <v>17</v>
      </c>
      <c r="O49" s="1">
        <v>1</v>
      </c>
      <c r="P49" s="1">
        <v>4</v>
      </c>
      <c r="S49" s="2">
        <v>294020</v>
      </c>
      <c r="T49" s="2"/>
    </row>
    <row r="50" spans="1:20" ht="18" customHeight="1" x14ac:dyDescent="0.45">
      <c r="A50" s="1">
        <v>49</v>
      </c>
      <c r="C50" s="1" t="s">
        <v>56</v>
      </c>
      <c r="D50" s="1" t="s">
        <v>25</v>
      </c>
      <c r="E50" s="1" t="s">
        <v>57</v>
      </c>
      <c r="F50" s="1">
        <f>SUM(H50:P50)</f>
        <v>25</v>
      </c>
      <c r="G50" s="1">
        <f>COUNTIF(I50:P50,1)</f>
        <v>1</v>
      </c>
      <c r="H50" s="1" t="s">
        <v>15</v>
      </c>
      <c r="I50" s="1">
        <v>4</v>
      </c>
      <c r="J50" s="1">
        <v>1</v>
      </c>
      <c r="K50" s="1" t="s">
        <v>16</v>
      </c>
      <c r="L50" s="1">
        <v>5</v>
      </c>
      <c r="M50" s="1">
        <v>4</v>
      </c>
      <c r="N50" s="1" t="s">
        <v>17</v>
      </c>
      <c r="O50" s="1">
        <v>7</v>
      </c>
      <c r="P50" s="1">
        <v>4</v>
      </c>
      <c r="S50" s="2">
        <v>8437630</v>
      </c>
      <c r="T50" s="2"/>
    </row>
    <row r="51" spans="1:20" ht="18" hidden="1" customHeight="1" x14ac:dyDescent="0.45">
      <c r="A51" s="1">
        <v>170</v>
      </c>
      <c r="C51" s="1" t="s">
        <v>222</v>
      </c>
      <c r="D51" s="1" t="s">
        <v>59</v>
      </c>
      <c r="E51" s="1" t="s">
        <v>213</v>
      </c>
      <c r="F51" s="1">
        <f>SUM(H51:P51)</f>
        <v>27</v>
      </c>
      <c r="G51" s="1">
        <v>1</v>
      </c>
      <c r="H51" s="1" t="s">
        <v>15</v>
      </c>
      <c r="I51" s="1">
        <v>4</v>
      </c>
      <c r="J51" s="1">
        <v>2</v>
      </c>
      <c r="K51" s="1" t="s">
        <v>16</v>
      </c>
      <c r="L51" s="1">
        <v>2</v>
      </c>
      <c r="M51" s="1">
        <v>4</v>
      </c>
      <c r="N51" s="1" t="s">
        <v>17</v>
      </c>
      <c r="O51" s="1">
        <v>4</v>
      </c>
      <c r="P51" s="1">
        <v>11</v>
      </c>
      <c r="T51" s="3">
        <v>9437043</v>
      </c>
    </row>
    <row r="52" spans="1:20" ht="18" hidden="1" customHeight="1" x14ac:dyDescent="0.45">
      <c r="A52" s="1">
        <v>177</v>
      </c>
      <c r="C52" s="1" t="s">
        <v>227</v>
      </c>
      <c r="D52" s="1" t="s">
        <v>33</v>
      </c>
      <c r="E52" s="1" t="s">
        <v>184</v>
      </c>
      <c r="F52" s="1">
        <f>SUM(H52:P52)</f>
        <v>15</v>
      </c>
      <c r="G52" s="1">
        <f>COUNTIF(I52:P52,1)</f>
        <v>2</v>
      </c>
      <c r="H52" s="1" t="s">
        <v>15</v>
      </c>
      <c r="I52" s="1">
        <v>2</v>
      </c>
      <c r="J52" s="1">
        <v>3</v>
      </c>
      <c r="K52" s="1" t="s">
        <v>16</v>
      </c>
      <c r="L52" s="1">
        <v>2</v>
      </c>
      <c r="M52" s="1">
        <v>1</v>
      </c>
      <c r="N52" s="1" t="s">
        <v>17</v>
      </c>
      <c r="O52" s="1">
        <v>1</v>
      </c>
      <c r="P52" s="1">
        <v>6</v>
      </c>
      <c r="S52" s="3">
        <v>93325</v>
      </c>
    </row>
    <row r="53" spans="1:20" ht="18" hidden="1" customHeight="1" x14ac:dyDescent="0.45">
      <c r="A53" s="1">
        <v>52</v>
      </c>
      <c r="C53" s="1" t="s">
        <v>63</v>
      </c>
      <c r="D53" s="1" t="s">
        <v>59</v>
      </c>
      <c r="E53" s="1" t="s">
        <v>64</v>
      </c>
      <c r="F53" s="1">
        <f>SUM(H53:P53)</f>
        <v>13</v>
      </c>
      <c r="G53" s="1"/>
      <c r="H53" s="1" t="s">
        <v>15</v>
      </c>
      <c r="I53" s="1">
        <v>3</v>
      </c>
      <c r="J53" s="1">
        <v>1</v>
      </c>
      <c r="K53" s="1" t="s">
        <v>16</v>
      </c>
      <c r="L53" s="1">
        <v>2</v>
      </c>
      <c r="M53" s="1">
        <v>3</v>
      </c>
      <c r="N53" s="1" t="s">
        <v>17</v>
      </c>
      <c r="O53" s="1">
        <v>3</v>
      </c>
      <c r="P53" s="1">
        <v>1</v>
      </c>
      <c r="S53" s="3">
        <v>163285</v>
      </c>
    </row>
    <row r="54" spans="1:20" ht="18" customHeight="1" x14ac:dyDescent="0.45">
      <c r="A54" s="1">
        <v>141</v>
      </c>
      <c r="C54" s="1" t="s">
        <v>189</v>
      </c>
      <c r="D54" s="1" t="s">
        <v>25</v>
      </c>
      <c r="E54" s="1" t="s">
        <v>190</v>
      </c>
      <c r="F54" s="1">
        <f>SUM(H54:P54)</f>
        <v>10</v>
      </c>
      <c r="G54" s="1"/>
      <c r="H54" s="1" t="s">
        <v>15</v>
      </c>
      <c r="I54" s="1">
        <v>1</v>
      </c>
      <c r="J54" s="1">
        <v>2</v>
      </c>
      <c r="K54" s="1" t="s">
        <v>16</v>
      </c>
      <c r="L54" s="1">
        <v>1</v>
      </c>
      <c r="M54" s="1">
        <v>3</v>
      </c>
      <c r="N54" s="1" t="s">
        <v>17</v>
      </c>
      <c r="O54" s="1">
        <v>2</v>
      </c>
      <c r="P54" s="1">
        <v>1</v>
      </c>
      <c r="S54" s="2">
        <v>23375</v>
      </c>
      <c r="T54" s="2"/>
    </row>
    <row r="55" spans="1:20" ht="18" hidden="1" customHeight="1" x14ac:dyDescent="0.45">
      <c r="A55" s="1">
        <v>51</v>
      </c>
      <c r="C55" s="1" t="s">
        <v>61</v>
      </c>
      <c r="D55" s="1" t="s">
        <v>59</v>
      </c>
      <c r="E55" s="1" t="s">
        <v>62</v>
      </c>
      <c r="F55" s="1">
        <f>SUM(H55:P55)</f>
        <v>20</v>
      </c>
      <c r="G55" s="1">
        <f>COUNTIF(I55:P55,1)</f>
        <v>2</v>
      </c>
      <c r="H55" s="1" t="s">
        <v>15</v>
      </c>
      <c r="I55" s="1">
        <v>1</v>
      </c>
      <c r="J55" s="1">
        <v>3</v>
      </c>
      <c r="K55" s="1" t="s">
        <v>16</v>
      </c>
      <c r="L55" s="1">
        <v>2</v>
      </c>
      <c r="M55" s="1">
        <v>3</v>
      </c>
      <c r="N55" s="1" t="s">
        <v>17</v>
      </c>
      <c r="O55" s="1">
        <v>1</v>
      </c>
      <c r="P55" s="1">
        <v>10</v>
      </c>
      <c r="S55" s="3">
        <v>581445</v>
      </c>
    </row>
    <row r="56" spans="1:20" ht="18" hidden="1" customHeight="1" x14ac:dyDescent="0.45">
      <c r="A56" s="1">
        <v>55</v>
      </c>
      <c r="C56" s="1" t="s">
        <v>68</v>
      </c>
      <c r="D56" s="1" t="s">
        <v>28</v>
      </c>
      <c r="E56" s="1" t="s">
        <v>69</v>
      </c>
      <c r="F56" s="1">
        <f>SUM(H56:P56)</f>
        <v>17</v>
      </c>
      <c r="G56" s="1"/>
      <c r="H56" s="1" t="s">
        <v>15</v>
      </c>
      <c r="I56" s="1">
        <v>9</v>
      </c>
      <c r="J56" s="1">
        <v>1</v>
      </c>
      <c r="K56" s="1" t="s">
        <v>16</v>
      </c>
      <c r="L56" s="1">
        <v>3</v>
      </c>
      <c r="M56" s="1">
        <v>1</v>
      </c>
      <c r="N56" s="1" t="s">
        <v>17</v>
      </c>
      <c r="O56" s="1">
        <v>2</v>
      </c>
      <c r="P56" s="1">
        <v>1</v>
      </c>
      <c r="S56" s="3">
        <v>1653105</v>
      </c>
    </row>
    <row r="57" spans="1:20" ht="18" hidden="1" customHeight="1" x14ac:dyDescent="0.45">
      <c r="A57" s="1">
        <v>56</v>
      </c>
      <c r="C57" s="1" t="s">
        <v>70</v>
      </c>
      <c r="D57" s="1" t="s">
        <v>28</v>
      </c>
      <c r="E57" s="1" t="s">
        <v>50</v>
      </c>
      <c r="F57" s="1">
        <f>SUM(H57:P57)</f>
        <v>21</v>
      </c>
      <c r="G57" s="1"/>
      <c r="H57" s="1" t="s">
        <v>15</v>
      </c>
      <c r="I57" s="1">
        <v>2</v>
      </c>
      <c r="J57" s="1">
        <v>4</v>
      </c>
      <c r="K57" s="1" t="s">
        <v>16</v>
      </c>
      <c r="L57" s="1">
        <v>3</v>
      </c>
      <c r="M57" s="1">
        <v>8</v>
      </c>
      <c r="N57" s="1" t="s">
        <v>17</v>
      </c>
      <c r="O57" s="1">
        <v>1</v>
      </c>
      <c r="P57" s="1">
        <v>3</v>
      </c>
      <c r="S57" s="3">
        <v>12490330</v>
      </c>
    </row>
    <row r="58" spans="1:20" ht="18" hidden="1" customHeight="1" x14ac:dyDescent="0.45">
      <c r="A58" s="1">
        <v>57</v>
      </c>
      <c r="C58" s="1" t="s">
        <v>71</v>
      </c>
      <c r="D58" s="1" t="s">
        <v>28</v>
      </c>
      <c r="E58" s="1" t="s">
        <v>52</v>
      </c>
      <c r="F58" s="1">
        <f>SUM(H58:P58)</f>
        <v>21</v>
      </c>
      <c r="G58" s="1"/>
      <c r="H58" s="1" t="s">
        <v>15</v>
      </c>
      <c r="I58" s="1">
        <v>6</v>
      </c>
      <c r="J58" s="1">
        <v>7</v>
      </c>
      <c r="K58" s="1" t="s">
        <v>16</v>
      </c>
      <c r="L58" s="1">
        <v>1</v>
      </c>
      <c r="M58" s="1">
        <v>4</v>
      </c>
      <c r="N58" s="1" t="s">
        <v>17</v>
      </c>
      <c r="O58" s="1">
        <v>1</v>
      </c>
      <c r="P58" s="1">
        <v>2</v>
      </c>
      <c r="Q58" s="1">
        <v>1</v>
      </c>
      <c r="S58" s="3">
        <v>2367630</v>
      </c>
    </row>
    <row r="59" spans="1:20" ht="18" hidden="1" customHeight="1" x14ac:dyDescent="0.45">
      <c r="A59" s="1">
        <v>58</v>
      </c>
      <c r="C59" s="1" t="s">
        <v>72</v>
      </c>
      <c r="D59" s="1" t="s">
        <v>28</v>
      </c>
      <c r="E59" s="1" t="s">
        <v>55</v>
      </c>
      <c r="F59" s="1">
        <f>SUM(H59:P59)</f>
        <v>30</v>
      </c>
      <c r="G59" s="1"/>
      <c r="H59" s="1" t="s">
        <v>15</v>
      </c>
      <c r="I59" s="1">
        <v>10</v>
      </c>
      <c r="J59" s="1">
        <v>6</v>
      </c>
      <c r="K59" s="1" t="s">
        <v>16</v>
      </c>
      <c r="L59" s="1">
        <v>1</v>
      </c>
      <c r="M59" s="1">
        <v>2</v>
      </c>
      <c r="N59" s="1" t="s">
        <v>17</v>
      </c>
      <c r="O59" s="1">
        <v>6</v>
      </c>
      <c r="P59" s="1">
        <v>5</v>
      </c>
      <c r="T59" s="3">
        <v>10940993</v>
      </c>
    </row>
    <row r="60" spans="1:20" ht="18" hidden="1" customHeight="1" x14ac:dyDescent="0.45">
      <c r="A60" s="1">
        <v>284</v>
      </c>
      <c r="C60" s="1" t="s">
        <v>353</v>
      </c>
      <c r="D60" s="1" t="s">
        <v>28</v>
      </c>
      <c r="E60" s="1" t="s">
        <v>108</v>
      </c>
      <c r="F60" s="1">
        <f>SUM(H60:P60)</f>
        <v>12</v>
      </c>
      <c r="G60" s="1"/>
      <c r="H60" s="1" t="s">
        <v>15</v>
      </c>
      <c r="I60" s="1">
        <v>1</v>
      </c>
      <c r="J60" s="1">
        <v>5</v>
      </c>
      <c r="K60" s="1" t="s">
        <v>16</v>
      </c>
      <c r="L60" s="1">
        <v>1</v>
      </c>
      <c r="M60" s="1">
        <v>2</v>
      </c>
      <c r="N60" s="1" t="s">
        <v>17</v>
      </c>
      <c r="O60" s="1">
        <v>1</v>
      </c>
      <c r="P60" s="1">
        <v>2</v>
      </c>
      <c r="S60" s="3">
        <v>32745</v>
      </c>
    </row>
    <row r="61" spans="1:20" ht="18" hidden="1" customHeight="1" x14ac:dyDescent="0.45">
      <c r="A61" s="1">
        <v>60</v>
      </c>
      <c r="C61" s="1" t="s">
        <v>74</v>
      </c>
      <c r="D61" s="1" t="s">
        <v>33</v>
      </c>
      <c r="E61" s="1" t="s">
        <v>75</v>
      </c>
      <c r="F61" s="1">
        <f>SUM(H61:P61)</f>
        <v>18</v>
      </c>
      <c r="G61" s="1">
        <f>COUNTIF(I61:P61,1)</f>
        <v>2</v>
      </c>
      <c r="H61" s="1" t="s">
        <v>15</v>
      </c>
      <c r="I61" s="1">
        <v>3</v>
      </c>
      <c r="J61" s="1">
        <v>1</v>
      </c>
      <c r="K61" s="1" t="s">
        <v>16</v>
      </c>
      <c r="L61" s="1">
        <v>4</v>
      </c>
      <c r="M61" s="1">
        <v>5</v>
      </c>
      <c r="N61" s="1" t="s">
        <v>17</v>
      </c>
      <c r="O61" s="1">
        <v>1</v>
      </c>
      <c r="P61" s="1">
        <v>4</v>
      </c>
      <c r="T61" s="3">
        <v>13357995</v>
      </c>
    </row>
    <row r="62" spans="1:20" ht="18" hidden="1" customHeight="1" x14ac:dyDescent="0.45">
      <c r="A62" s="1">
        <v>61</v>
      </c>
      <c r="C62" s="1" t="s">
        <v>76</v>
      </c>
      <c r="D62" s="1" t="s">
        <v>33</v>
      </c>
      <c r="E62" s="1" t="s">
        <v>77</v>
      </c>
      <c r="F62" s="1">
        <f>SUM(H62:P62)</f>
        <v>32</v>
      </c>
      <c r="G62" s="1"/>
      <c r="H62" s="1" t="s">
        <v>15</v>
      </c>
      <c r="I62" s="1">
        <v>1</v>
      </c>
      <c r="J62" s="1">
        <v>10</v>
      </c>
      <c r="K62" s="1" t="s">
        <v>16</v>
      </c>
      <c r="L62" s="1">
        <v>8</v>
      </c>
      <c r="M62" s="1">
        <v>10</v>
      </c>
      <c r="N62" s="1" t="s">
        <v>17</v>
      </c>
      <c r="O62" s="1">
        <v>1</v>
      </c>
      <c r="P62" s="1">
        <v>2</v>
      </c>
      <c r="S62" s="3">
        <v>16059760</v>
      </c>
    </row>
    <row r="63" spans="1:20" ht="18" hidden="1" customHeight="1" x14ac:dyDescent="0.45">
      <c r="A63" s="1">
        <v>62</v>
      </c>
      <c r="C63" s="1" t="s">
        <v>78</v>
      </c>
      <c r="D63" s="1" t="s">
        <v>33</v>
      </c>
      <c r="E63" s="1" t="s">
        <v>79</v>
      </c>
      <c r="F63" s="1">
        <f>SUM(H63:P63)</f>
        <v>24</v>
      </c>
      <c r="G63" s="1">
        <f>COUNTIF(I63:P63,1)</f>
        <v>2</v>
      </c>
      <c r="H63" s="1" t="s">
        <v>15</v>
      </c>
      <c r="I63" s="1">
        <v>1</v>
      </c>
      <c r="J63" s="1">
        <v>2</v>
      </c>
      <c r="K63" s="1" t="s">
        <v>16</v>
      </c>
      <c r="L63" s="1">
        <v>1</v>
      </c>
      <c r="M63" s="1">
        <v>7</v>
      </c>
      <c r="N63" s="1" t="s">
        <v>17</v>
      </c>
      <c r="O63" s="1">
        <v>7</v>
      </c>
      <c r="P63" s="1">
        <v>6</v>
      </c>
      <c r="Q63" s="1">
        <v>1</v>
      </c>
      <c r="S63" s="3">
        <v>9138210</v>
      </c>
    </row>
    <row r="64" spans="1:20" ht="18" hidden="1" customHeight="1" x14ac:dyDescent="0.45">
      <c r="A64" s="1">
        <v>63</v>
      </c>
      <c r="C64" s="1" t="s">
        <v>80</v>
      </c>
      <c r="D64" s="1" t="s">
        <v>33</v>
      </c>
      <c r="E64" s="1" t="s">
        <v>81</v>
      </c>
      <c r="F64" s="1">
        <f>SUM(H64:P64)</f>
        <v>27</v>
      </c>
      <c r="G64" s="1"/>
      <c r="H64" s="1" t="s">
        <v>15</v>
      </c>
      <c r="I64" s="1">
        <v>11</v>
      </c>
      <c r="J64" s="1">
        <v>5</v>
      </c>
      <c r="K64" s="1" t="s">
        <v>16</v>
      </c>
      <c r="L64" s="1">
        <v>7</v>
      </c>
      <c r="M64" s="1">
        <v>1</v>
      </c>
      <c r="N64" s="1" t="s">
        <v>17</v>
      </c>
      <c r="O64" s="1">
        <v>1</v>
      </c>
      <c r="P64" s="1">
        <v>2</v>
      </c>
      <c r="T64" s="3">
        <v>12755197</v>
      </c>
    </row>
    <row r="65" spans="1:20" ht="18" hidden="1" customHeight="1" x14ac:dyDescent="0.45">
      <c r="A65" s="1">
        <v>64</v>
      </c>
      <c r="C65" s="1" t="s">
        <v>82</v>
      </c>
      <c r="D65" s="1" t="s">
        <v>33</v>
      </c>
      <c r="E65" s="1" t="s">
        <v>83</v>
      </c>
      <c r="F65" s="1">
        <f>SUM(H65:P65)</f>
        <v>10</v>
      </c>
      <c r="G65" s="1"/>
      <c r="H65" s="1" t="s">
        <v>15</v>
      </c>
      <c r="I65" s="1">
        <v>1</v>
      </c>
      <c r="J65" s="1">
        <v>2</v>
      </c>
      <c r="K65" s="1" t="s">
        <v>16</v>
      </c>
      <c r="L65" s="1">
        <v>1</v>
      </c>
      <c r="M65" s="1">
        <v>3</v>
      </c>
      <c r="N65" s="1" t="s">
        <v>17</v>
      </c>
      <c r="O65" s="1">
        <v>2</v>
      </c>
      <c r="P65" s="1">
        <v>1</v>
      </c>
      <c r="S65" s="3">
        <v>33360</v>
      </c>
    </row>
    <row r="66" spans="1:20" ht="18" hidden="1" customHeight="1" x14ac:dyDescent="0.45">
      <c r="A66" s="1">
        <v>235</v>
      </c>
      <c r="C66" s="1" t="s">
        <v>294</v>
      </c>
      <c r="D66" s="1" t="s">
        <v>33</v>
      </c>
      <c r="E66" s="1" t="s">
        <v>23</v>
      </c>
      <c r="F66" s="1">
        <f>SUM(H66:P66)</f>
        <v>14</v>
      </c>
      <c r="G66" s="1">
        <f>COUNTIF(I66:P66,1)</f>
        <v>3</v>
      </c>
      <c r="H66" s="1" t="s">
        <v>15</v>
      </c>
      <c r="I66" s="1">
        <v>1</v>
      </c>
      <c r="J66" s="1">
        <v>3</v>
      </c>
      <c r="K66" s="1" t="s">
        <v>16</v>
      </c>
      <c r="L66" s="1">
        <v>2</v>
      </c>
      <c r="M66" s="1">
        <v>1</v>
      </c>
      <c r="N66" s="1" t="s">
        <v>17</v>
      </c>
      <c r="O66" s="1">
        <v>1</v>
      </c>
      <c r="P66" s="1">
        <v>6</v>
      </c>
      <c r="Q66" s="1">
        <v>1</v>
      </c>
      <c r="S66" s="3">
        <v>101015</v>
      </c>
    </row>
    <row r="67" spans="1:20" ht="18" customHeight="1" x14ac:dyDescent="0.45">
      <c r="A67" s="1">
        <v>66</v>
      </c>
      <c r="C67" s="1" t="s">
        <v>86</v>
      </c>
      <c r="D67" s="1" t="s">
        <v>25</v>
      </c>
      <c r="E67" s="1" t="s">
        <v>87</v>
      </c>
      <c r="F67" s="1">
        <f>SUM(H67:P67)</f>
        <v>15</v>
      </c>
      <c r="G67" s="1">
        <f>COUNTIF(I67:P67,1)</f>
        <v>3</v>
      </c>
      <c r="H67" s="1" t="s">
        <v>15</v>
      </c>
      <c r="I67" s="1">
        <v>2</v>
      </c>
      <c r="J67" s="1">
        <v>1</v>
      </c>
      <c r="K67" s="1" t="s">
        <v>16</v>
      </c>
      <c r="L67" s="1">
        <v>1</v>
      </c>
      <c r="M67" s="1">
        <v>6</v>
      </c>
      <c r="N67" s="1" t="s">
        <v>17</v>
      </c>
      <c r="O67" s="1">
        <v>1</v>
      </c>
      <c r="P67" s="1">
        <v>4</v>
      </c>
      <c r="S67" s="2">
        <v>294565</v>
      </c>
      <c r="T67" s="2"/>
    </row>
    <row r="68" spans="1:20" ht="18" customHeight="1" x14ac:dyDescent="0.45">
      <c r="A68" s="1">
        <v>67</v>
      </c>
      <c r="C68" s="1" t="s">
        <v>88</v>
      </c>
      <c r="D68" s="1" t="s">
        <v>25</v>
      </c>
      <c r="E68" s="1" t="s">
        <v>29</v>
      </c>
      <c r="F68" s="1">
        <f>SUM(H68:P68)</f>
        <v>20</v>
      </c>
      <c r="G68" s="1"/>
      <c r="H68" s="1" t="s">
        <v>15</v>
      </c>
      <c r="I68" s="1">
        <v>3</v>
      </c>
      <c r="J68" s="1">
        <v>10</v>
      </c>
      <c r="K68" s="1" t="s">
        <v>16</v>
      </c>
      <c r="L68" s="1">
        <v>2</v>
      </c>
      <c r="M68" s="1">
        <v>1</v>
      </c>
      <c r="N68" s="1" t="s">
        <v>17</v>
      </c>
      <c r="O68" s="1">
        <v>3</v>
      </c>
      <c r="P68" s="1">
        <v>1</v>
      </c>
      <c r="S68" s="2">
        <v>4527195</v>
      </c>
      <c r="T68" s="2"/>
    </row>
    <row r="69" spans="1:20" ht="18" hidden="1" customHeight="1" x14ac:dyDescent="0.45">
      <c r="A69" s="1">
        <v>3</v>
      </c>
      <c r="B69" s="19"/>
      <c r="C69" s="1" t="s">
        <v>384</v>
      </c>
      <c r="D69" s="1" t="s">
        <v>33</v>
      </c>
      <c r="E69" s="1" t="s">
        <v>344</v>
      </c>
      <c r="F69" s="1">
        <f>SUM(H69:P69)</f>
        <v>13</v>
      </c>
      <c r="G69" s="1">
        <f>COUNTIF(I69:P69,1)</f>
        <v>2</v>
      </c>
      <c r="H69" s="1" t="s">
        <v>15</v>
      </c>
      <c r="I69" s="1">
        <v>1</v>
      </c>
      <c r="J69" s="1">
        <v>3</v>
      </c>
      <c r="K69" s="1" t="s">
        <v>16</v>
      </c>
      <c r="L69" s="1">
        <v>3</v>
      </c>
      <c r="M69" s="1">
        <v>2</v>
      </c>
      <c r="N69" s="1" t="s">
        <v>17</v>
      </c>
      <c r="O69" s="1">
        <v>1</v>
      </c>
      <c r="P69" s="1">
        <v>3</v>
      </c>
      <c r="R69" s="1" t="s">
        <v>385</v>
      </c>
      <c r="S69" s="3">
        <v>40505</v>
      </c>
      <c r="T69" s="1">
        <v>0</v>
      </c>
    </row>
    <row r="70" spans="1:20" ht="18" hidden="1" customHeight="1" x14ac:dyDescent="0.45">
      <c r="A70" s="1">
        <v>189</v>
      </c>
      <c r="C70" s="1" t="s">
        <v>240</v>
      </c>
      <c r="D70" s="1" t="s">
        <v>59</v>
      </c>
      <c r="E70" s="1" t="s">
        <v>233</v>
      </c>
      <c r="F70" s="1">
        <f>SUM(H70:P70)</f>
        <v>24</v>
      </c>
      <c r="G70" s="1">
        <v>1</v>
      </c>
      <c r="H70" s="1" t="s">
        <v>15</v>
      </c>
      <c r="I70" s="1">
        <v>1</v>
      </c>
      <c r="J70" s="1">
        <v>4</v>
      </c>
      <c r="K70" s="1" t="s">
        <v>16</v>
      </c>
      <c r="L70" s="1">
        <v>1</v>
      </c>
      <c r="M70" s="1">
        <v>7</v>
      </c>
      <c r="N70" s="1" t="s">
        <v>17</v>
      </c>
      <c r="O70" s="1">
        <v>1</v>
      </c>
      <c r="P70" s="1">
        <v>10</v>
      </c>
      <c r="S70" s="3">
        <v>563310</v>
      </c>
    </row>
    <row r="71" spans="1:20" ht="18" hidden="1" customHeight="1" x14ac:dyDescent="0.45">
      <c r="A71" s="1">
        <v>70</v>
      </c>
      <c r="C71" s="1" t="s">
        <v>92</v>
      </c>
      <c r="D71" s="1" t="s">
        <v>59</v>
      </c>
      <c r="E71" s="1" t="s">
        <v>50</v>
      </c>
      <c r="F71" s="1">
        <f>SUM(H71:P71)</f>
        <v>24</v>
      </c>
      <c r="G71" s="1"/>
      <c r="H71" s="1" t="s">
        <v>15</v>
      </c>
      <c r="I71" s="1">
        <v>8</v>
      </c>
      <c r="J71" s="1">
        <v>3</v>
      </c>
      <c r="K71" s="1" t="s">
        <v>16</v>
      </c>
      <c r="L71" s="1">
        <v>1</v>
      </c>
      <c r="M71" s="1">
        <v>3</v>
      </c>
      <c r="N71" s="1" t="s">
        <v>17</v>
      </c>
      <c r="O71" s="1">
        <v>6</v>
      </c>
      <c r="P71" s="1">
        <v>3</v>
      </c>
      <c r="Q71" s="1">
        <v>1</v>
      </c>
      <c r="S71" s="3">
        <v>53642875</v>
      </c>
    </row>
    <row r="72" spans="1:20" ht="18" hidden="1" customHeight="1" x14ac:dyDescent="0.45">
      <c r="A72" s="1">
        <v>71</v>
      </c>
      <c r="C72" s="1" t="s">
        <v>93</v>
      </c>
      <c r="D72" s="1" t="s">
        <v>59</v>
      </c>
      <c r="E72" s="1" t="s">
        <v>52</v>
      </c>
      <c r="F72" s="1">
        <f>SUM(H72:P72)</f>
        <v>19</v>
      </c>
      <c r="G72" s="1">
        <f>COUNTIF(I72:P72,1)</f>
        <v>1</v>
      </c>
      <c r="H72" s="1" t="s">
        <v>15</v>
      </c>
      <c r="I72" s="1">
        <v>5</v>
      </c>
      <c r="J72" s="1">
        <v>3</v>
      </c>
      <c r="K72" s="1" t="s">
        <v>16</v>
      </c>
      <c r="L72" s="1">
        <v>2</v>
      </c>
      <c r="M72" s="1">
        <v>1</v>
      </c>
      <c r="N72" s="1" t="s">
        <v>17</v>
      </c>
      <c r="O72" s="1">
        <v>3</v>
      </c>
      <c r="P72" s="1">
        <v>5</v>
      </c>
      <c r="T72" s="3">
        <v>11103491</v>
      </c>
    </row>
    <row r="73" spans="1:20" ht="18" hidden="1" customHeight="1" x14ac:dyDescent="0.45">
      <c r="A73" s="1">
        <v>92</v>
      </c>
      <c r="C73" s="1" t="s">
        <v>132</v>
      </c>
      <c r="D73" s="1" t="s">
        <v>33</v>
      </c>
      <c r="E73" s="1" t="s">
        <v>133</v>
      </c>
      <c r="F73" s="1">
        <f>SUM(H73:P73)</f>
        <v>12</v>
      </c>
      <c r="G73" s="1">
        <f>COUNTIF(I73:P73,1)</f>
        <v>2</v>
      </c>
      <c r="H73" s="1" t="s">
        <v>15</v>
      </c>
      <c r="I73" s="1">
        <v>2</v>
      </c>
      <c r="J73" s="1">
        <v>1</v>
      </c>
      <c r="K73" s="1" t="s">
        <v>16</v>
      </c>
      <c r="L73" s="1">
        <v>1</v>
      </c>
      <c r="M73" s="1">
        <v>2</v>
      </c>
      <c r="N73" s="1" t="s">
        <v>17</v>
      </c>
      <c r="O73" s="1">
        <v>2</v>
      </c>
      <c r="P73" s="1">
        <v>4</v>
      </c>
      <c r="S73" s="3">
        <v>101240</v>
      </c>
    </row>
    <row r="74" spans="1:20" ht="18" hidden="1" customHeight="1" x14ac:dyDescent="0.45">
      <c r="A74" s="1">
        <v>125</v>
      </c>
      <c r="C74" s="1" t="s">
        <v>171</v>
      </c>
      <c r="D74" s="1" t="s">
        <v>33</v>
      </c>
      <c r="E74" s="1" t="s">
        <v>85</v>
      </c>
      <c r="F74" s="1">
        <f>SUM(H74:P74)</f>
        <v>15</v>
      </c>
      <c r="G74" s="1">
        <f>COUNTIF(I74:P74,1)</f>
        <v>3</v>
      </c>
      <c r="H74" s="1" t="s">
        <v>15</v>
      </c>
      <c r="I74" s="1">
        <v>1</v>
      </c>
      <c r="J74" s="1">
        <v>3</v>
      </c>
      <c r="K74" s="1" t="s">
        <v>16</v>
      </c>
      <c r="L74" s="1">
        <v>1</v>
      </c>
      <c r="M74" s="1">
        <v>3</v>
      </c>
      <c r="N74" s="1" t="s">
        <v>17</v>
      </c>
      <c r="O74" s="1">
        <v>1</v>
      </c>
      <c r="P74" s="1">
        <v>6</v>
      </c>
      <c r="Q74" s="1">
        <v>1</v>
      </c>
      <c r="S74" s="3">
        <v>107995</v>
      </c>
    </row>
    <row r="75" spans="1:20" ht="18" hidden="1" customHeight="1" x14ac:dyDescent="0.45">
      <c r="A75" s="1">
        <v>190</v>
      </c>
      <c r="C75" s="1" t="s">
        <v>241</v>
      </c>
      <c r="D75" s="1" t="s">
        <v>59</v>
      </c>
      <c r="E75" s="1" t="s">
        <v>235</v>
      </c>
      <c r="F75" s="1">
        <f>SUM(H75:P75)</f>
        <v>21</v>
      </c>
      <c r="G75" s="1">
        <f>COUNTIF(I75:P75,1)</f>
        <v>3</v>
      </c>
      <c r="H75" s="1" t="s">
        <v>15</v>
      </c>
      <c r="I75" s="1">
        <v>1</v>
      </c>
      <c r="J75" s="1">
        <v>2</v>
      </c>
      <c r="K75" s="1" t="s">
        <v>16</v>
      </c>
      <c r="L75" s="1">
        <v>1</v>
      </c>
      <c r="M75" s="1">
        <v>5</v>
      </c>
      <c r="N75" s="1" t="s">
        <v>17</v>
      </c>
      <c r="O75" s="1">
        <v>1</v>
      </c>
      <c r="P75" s="1">
        <v>11</v>
      </c>
      <c r="Q75" s="1">
        <v>1</v>
      </c>
      <c r="S75" s="3">
        <v>917850</v>
      </c>
    </row>
    <row r="76" spans="1:20" ht="18" hidden="1" customHeight="1" x14ac:dyDescent="0.45">
      <c r="A76" s="1">
        <v>75</v>
      </c>
      <c r="C76" s="1" t="s">
        <v>98</v>
      </c>
      <c r="D76" s="1" t="s">
        <v>33</v>
      </c>
      <c r="E76" s="1" t="s">
        <v>99</v>
      </c>
      <c r="F76" s="1">
        <f>SUM(H76:P76)</f>
        <v>27</v>
      </c>
      <c r="G76" s="1">
        <v>1</v>
      </c>
      <c r="H76" s="1" t="s">
        <v>15</v>
      </c>
      <c r="I76" s="1">
        <v>1</v>
      </c>
      <c r="J76" s="1">
        <v>12</v>
      </c>
      <c r="K76" s="1" t="s">
        <v>16</v>
      </c>
      <c r="L76" s="1">
        <v>5</v>
      </c>
      <c r="M76" s="1">
        <v>4</v>
      </c>
      <c r="N76" s="1" t="s">
        <v>17</v>
      </c>
      <c r="O76" s="1">
        <v>1</v>
      </c>
      <c r="P76" s="1">
        <v>4</v>
      </c>
      <c r="S76" s="3">
        <v>1511340</v>
      </c>
    </row>
    <row r="77" spans="1:20" ht="18" hidden="1" customHeight="1" x14ac:dyDescent="0.45">
      <c r="A77" s="1">
        <v>76</v>
      </c>
      <c r="C77" s="1" t="s">
        <v>101</v>
      </c>
      <c r="D77" s="1" t="s">
        <v>33</v>
      </c>
      <c r="E77" s="1" t="s">
        <v>102</v>
      </c>
      <c r="F77" s="1">
        <f>SUM(H77:P77)</f>
        <v>18</v>
      </c>
      <c r="G77" s="1"/>
      <c r="H77" s="1" t="s">
        <v>15</v>
      </c>
      <c r="I77" s="1">
        <v>7</v>
      </c>
      <c r="J77" s="1">
        <v>1</v>
      </c>
      <c r="K77" s="1" t="s">
        <v>16</v>
      </c>
      <c r="L77" s="1">
        <v>1</v>
      </c>
      <c r="M77" s="1">
        <v>4</v>
      </c>
      <c r="N77" s="1" t="s">
        <v>17</v>
      </c>
      <c r="O77" s="1">
        <v>2</v>
      </c>
      <c r="P77" s="1">
        <v>3</v>
      </c>
      <c r="S77" s="3">
        <v>7033250</v>
      </c>
    </row>
    <row r="78" spans="1:20" ht="18" hidden="1" customHeight="1" x14ac:dyDescent="0.45">
      <c r="A78" s="1">
        <v>77</v>
      </c>
      <c r="C78" s="1" t="s">
        <v>104</v>
      </c>
      <c r="D78" s="1" t="s">
        <v>33</v>
      </c>
      <c r="E78" s="1" t="s">
        <v>105</v>
      </c>
      <c r="F78" s="1">
        <f>SUM(H78:P78)</f>
        <v>13</v>
      </c>
      <c r="G78" s="1">
        <f>COUNTIF(I78:P78,1)</f>
        <v>3</v>
      </c>
      <c r="H78" s="1" t="s">
        <v>15</v>
      </c>
      <c r="I78" s="1">
        <v>2</v>
      </c>
      <c r="J78" s="1">
        <v>1</v>
      </c>
      <c r="K78" s="1" t="s">
        <v>16</v>
      </c>
      <c r="L78" s="1">
        <v>1</v>
      </c>
      <c r="M78" s="1">
        <v>4</v>
      </c>
      <c r="N78" s="1" t="s">
        <v>17</v>
      </c>
      <c r="O78" s="1">
        <v>1</v>
      </c>
      <c r="P78" s="1">
        <v>4</v>
      </c>
      <c r="S78" s="3">
        <v>46645</v>
      </c>
    </row>
    <row r="79" spans="1:20" ht="18" hidden="1" customHeight="1" x14ac:dyDescent="0.45">
      <c r="A79" s="1">
        <v>78</v>
      </c>
      <c r="C79" s="1" t="s">
        <v>107</v>
      </c>
      <c r="D79" s="1" t="s">
        <v>33</v>
      </c>
      <c r="E79" s="1" t="s">
        <v>108</v>
      </c>
      <c r="F79" s="1">
        <f>SUM(H79:P79)</f>
        <v>22</v>
      </c>
      <c r="G79" s="1"/>
      <c r="H79" s="1" t="s">
        <v>15</v>
      </c>
      <c r="I79" s="1">
        <v>9</v>
      </c>
      <c r="J79" s="1">
        <v>1</v>
      </c>
      <c r="K79" s="1" t="s">
        <v>16</v>
      </c>
      <c r="L79" s="1">
        <v>3</v>
      </c>
      <c r="M79" s="1">
        <v>6</v>
      </c>
      <c r="N79" s="1" t="s">
        <v>17</v>
      </c>
      <c r="O79" s="1">
        <v>1</v>
      </c>
      <c r="P79" s="1">
        <v>2</v>
      </c>
      <c r="S79" s="3">
        <v>1685250</v>
      </c>
    </row>
    <row r="80" spans="1:20" ht="18" hidden="1" customHeight="1" x14ac:dyDescent="0.45">
      <c r="A80" s="1">
        <v>79</v>
      </c>
      <c r="C80" s="1" t="s">
        <v>109</v>
      </c>
      <c r="D80" s="1" t="s">
        <v>28</v>
      </c>
      <c r="E80" s="1" t="s">
        <v>110</v>
      </c>
      <c r="F80" s="1">
        <f>SUM(H80:P80)</f>
        <v>16</v>
      </c>
      <c r="G80" s="1"/>
      <c r="H80" s="1" t="s">
        <v>15</v>
      </c>
      <c r="I80" s="1">
        <v>3</v>
      </c>
      <c r="J80" s="1">
        <v>2</v>
      </c>
      <c r="K80" s="1" t="s">
        <v>16</v>
      </c>
      <c r="L80" s="1">
        <v>4</v>
      </c>
      <c r="M80" s="1">
        <v>1</v>
      </c>
      <c r="N80" s="1" t="s">
        <v>17</v>
      </c>
      <c r="O80" s="1">
        <v>5</v>
      </c>
      <c r="P80" s="1">
        <v>1</v>
      </c>
      <c r="S80" s="3">
        <v>1538020</v>
      </c>
    </row>
    <row r="81" spans="1:20" ht="18" hidden="1" customHeight="1" x14ac:dyDescent="0.45">
      <c r="A81" s="1">
        <v>80</v>
      </c>
      <c r="C81" s="1" t="s">
        <v>111</v>
      </c>
      <c r="D81" s="1" t="s">
        <v>28</v>
      </c>
      <c r="E81" s="1" t="s">
        <v>85</v>
      </c>
      <c r="F81" s="1">
        <f>SUM(H81:P81)</f>
        <v>19</v>
      </c>
      <c r="G81" s="1"/>
      <c r="H81" s="1" t="s">
        <v>15</v>
      </c>
      <c r="I81" s="1">
        <v>1</v>
      </c>
      <c r="J81" s="1">
        <v>3</v>
      </c>
      <c r="K81" s="1" t="s">
        <v>16</v>
      </c>
      <c r="L81" s="1">
        <v>1</v>
      </c>
      <c r="M81" s="1">
        <v>2</v>
      </c>
      <c r="N81" s="1" t="s">
        <v>17</v>
      </c>
      <c r="O81" s="1">
        <v>4</v>
      </c>
      <c r="P81" s="1">
        <v>8</v>
      </c>
      <c r="Q81" s="1">
        <v>1</v>
      </c>
      <c r="S81" s="3">
        <v>11379670</v>
      </c>
    </row>
    <row r="82" spans="1:20" ht="18" hidden="1" customHeight="1" x14ac:dyDescent="0.45">
      <c r="A82" s="1">
        <v>81</v>
      </c>
      <c r="C82" s="1" t="s">
        <v>112</v>
      </c>
      <c r="D82" s="1" t="s">
        <v>28</v>
      </c>
      <c r="E82" s="1" t="s">
        <v>87</v>
      </c>
      <c r="F82" s="1">
        <f>SUM(H82:P82)</f>
        <v>34</v>
      </c>
      <c r="G82" s="1">
        <f>COUNTIF(I82:P82,1)</f>
        <v>0</v>
      </c>
      <c r="H82" s="1" t="s">
        <v>15</v>
      </c>
      <c r="I82" s="1">
        <v>9</v>
      </c>
      <c r="J82" s="1">
        <v>4</v>
      </c>
      <c r="K82" s="1" t="s">
        <v>16</v>
      </c>
      <c r="L82" s="1">
        <v>6</v>
      </c>
      <c r="M82" s="1">
        <v>8</v>
      </c>
      <c r="N82" s="1" t="s">
        <v>17</v>
      </c>
      <c r="O82" s="1">
        <v>2</v>
      </c>
      <c r="P82" s="1">
        <v>5</v>
      </c>
      <c r="T82" s="3">
        <v>11694137</v>
      </c>
    </row>
    <row r="83" spans="1:20" ht="18" customHeight="1" x14ac:dyDescent="0.45">
      <c r="A83" s="1">
        <v>112</v>
      </c>
      <c r="C83" s="1" t="s">
        <v>155</v>
      </c>
      <c r="D83" s="1" t="s">
        <v>25</v>
      </c>
      <c r="E83" s="1" t="s">
        <v>156</v>
      </c>
      <c r="F83" s="1">
        <f>SUM(H83:P83)</f>
        <v>11</v>
      </c>
      <c r="G83" s="1"/>
      <c r="H83" s="1" t="s">
        <v>15</v>
      </c>
      <c r="I83" s="1">
        <v>1</v>
      </c>
      <c r="J83" s="1">
        <v>4</v>
      </c>
      <c r="K83" s="1" t="s">
        <v>16</v>
      </c>
      <c r="L83" s="1">
        <v>1</v>
      </c>
      <c r="M83" s="1">
        <v>2</v>
      </c>
      <c r="N83" s="1" t="s">
        <v>17</v>
      </c>
      <c r="O83" s="1">
        <v>1</v>
      </c>
      <c r="P83" s="1">
        <v>2</v>
      </c>
      <c r="S83" s="2">
        <v>46940</v>
      </c>
      <c r="T83" s="2"/>
    </row>
    <row r="84" spans="1:20" ht="18" hidden="1" customHeight="1" x14ac:dyDescent="0.45">
      <c r="A84" s="1">
        <v>83</v>
      </c>
      <c r="C84" s="1" t="s">
        <v>114</v>
      </c>
      <c r="D84" s="1" t="s">
        <v>28</v>
      </c>
      <c r="E84" s="1" t="s">
        <v>90</v>
      </c>
      <c r="F84" s="1">
        <f>SUM(H84:P84)</f>
        <v>23</v>
      </c>
      <c r="G84" s="1">
        <f>COUNTIF(I84:P84,1)</f>
        <v>2</v>
      </c>
      <c r="H84" s="1" t="s">
        <v>36</v>
      </c>
      <c r="I84" s="1">
        <v>7</v>
      </c>
      <c r="J84" s="1">
        <v>2</v>
      </c>
      <c r="K84" s="1" t="s">
        <v>15</v>
      </c>
      <c r="L84" s="1">
        <v>5</v>
      </c>
      <c r="M84" s="1">
        <v>1</v>
      </c>
      <c r="N84" s="1" t="s">
        <v>16</v>
      </c>
      <c r="O84" s="1">
        <v>1</v>
      </c>
      <c r="P84" s="1">
        <v>7</v>
      </c>
      <c r="S84" s="3">
        <v>14326235</v>
      </c>
    </row>
    <row r="85" spans="1:20" ht="18" customHeight="1" x14ac:dyDescent="0.45">
      <c r="A85" s="1">
        <v>84</v>
      </c>
      <c r="C85" s="1" t="s">
        <v>116</v>
      </c>
      <c r="D85" s="1" t="s">
        <v>25</v>
      </c>
      <c r="E85" s="1" t="s">
        <v>117</v>
      </c>
      <c r="F85" s="1">
        <f>SUM(H85:P85)</f>
        <v>18</v>
      </c>
      <c r="G85" s="1"/>
      <c r="H85" s="1" t="s">
        <v>15</v>
      </c>
      <c r="I85" s="1">
        <v>1</v>
      </c>
      <c r="J85" s="1">
        <v>2</v>
      </c>
      <c r="K85" s="1" t="s">
        <v>16</v>
      </c>
      <c r="L85" s="1">
        <v>4</v>
      </c>
      <c r="M85" s="1">
        <v>6</v>
      </c>
      <c r="N85" s="1" t="s">
        <v>17</v>
      </c>
      <c r="O85" s="1">
        <v>4</v>
      </c>
      <c r="P85" s="1">
        <v>1</v>
      </c>
      <c r="Q85" s="1">
        <v>1</v>
      </c>
      <c r="S85" s="2">
        <v>2498755</v>
      </c>
      <c r="T85" s="2"/>
    </row>
    <row r="86" spans="1:20" ht="18" customHeight="1" x14ac:dyDescent="0.45">
      <c r="A86" s="1">
        <v>85</v>
      </c>
      <c r="C86" s="1" t="s">
        <v>118</v>
      </c>
      <c r="D86" s="1" t="s">
        <v>25</v>
      </c>
      <c r="E86" s="1" t="s">
        <v>119</v>
      </c>
      <c r="F86" s="1">
        <f>SUM(H86:P86)</f>
        <v>26</v>
      </c>
      <c r="G86" s="1">
        <f>COUNTIF(I86:P86,1)</f>
        <v>2</v>
      </c>
      <c r="H86" s="1" t="s">
        <v>15</v>
      </c>
      <c r="I86" s="1">
        <v>3</v>
      </c>
      <c r="J86" s="1">
        <v>5</v>
      </c>
      <c r="K86" s="1" t="s">
        <v>16</v>
      </c>
      <c r="L86" s="1">
        <v>8</v>
      </c>
      <c r="M86" s="1">
        <v>1</v>
      </c>
      <c r="N86" s="1" t="s">
        <v>17</v>
      </c>
      <c r="O86" s="1">
        <v>1</v>
      </c>
      <c r="P86" s="1">
        <v>8</v>
      </c>
      <c r="S86" s="2"/>
      <c r="T86" s="2">
        <v>5746846</v>
      </c>
    </row>
    <row r="87" spans="1:20" ht="18" customHeight="1" x14ac:dyDescent="0.45">
      <c r="A87" s="1">
        <v>86</v>
      </c>
      <c r="C87" s="1" t="s">
        <v>121</v>
      </c>
      <c r="D87" s="1" t="s">
        <v>25</v>
      </c>
      <c r="E87" s="1" t="s">
        <v>122</v>
      </c>
      <c r="F87" s="1">
        <f>SUM(H87:P87)</f>
        <v>23</v>
      </c>
      <c r="G87" s="1"/>
      <c r="H87" s="1" t="s">
        <v>15</v>
      </c>
      <c r="I87" s="1">
        <v>5</v>
      </c>
      <c r="J87" s="1">
        <v>3</v>
      </c>
      <c r="K87" s="1" t="s">
        <v>16</v>
      </c>
      <c r="L87" s="1">
        <v>1</v>
      </c>
      <c r="M87" s="1">
        <v>9</v>
      </c>
      <c r="N87" s="1" t="s">
        <v>17</v>
      </c>
      <c r="O87" s="1">
        <v>2</v>
      </c>
      <c r="P87" s="1">
        <v>3</v>
      </c>
      <c r="Q87" s="1">
        <v>1</v>
      </c>
      <c r="S87" s="2">
        <v>17873430</v>
      </c>
      <c r="T87" s="2"/>
    </row>
    <row r="88" spans="1:20" ht="18" customHeight="1" x14ac:dyDescent="0.45">
      <c r="A88" s="1">
        <v>87</v>
      </c>
      <c r="C88" s="1" t="s">
        <v>39</v>
      </c>
      <c r="D88" s="1" t="s">
        <v>25</v>
      </c>
      <c r="E88" s="1" t="s">
        <v>124</v>
      </c>
      <c r="F88" s="1">
        <f>SUM(H88:P88)</f>
        <v>22</v>
      </c>
      <c r="G88" s="1"/>
      <c r="H88" s="1" t="s">
        <v>15</v>
      </c>
      <c r="I88" s="1">
        <v>2</v>
      </c>
      <c r="J88" s="1">
        <v>8</v>
      </c>
      <c r="K88" s="1" t="s">
        <v>16</v>
      </c>
      <c r="L88" s="1">
        <v>8</v>
      </c>
      <c r="M88" s="1">
        <v>1</v>
      </c>
      <c r="N88" s="1" t="s">
        <v>17</v>
      </c>
      <c r="O88" s="1">
        <v>2</v>
      </c>
      <c r="P88" s="1">
        <v>1</v>
      </c>
      <c r="S88" s="2"/>
      <c r="T88" s="2">
        <v>7968961</v>
      </c>
    </row>
    <row r="89" spans="1:20" ht="18" hidden="1" customHeight="1" x14ac:dyDescent="0.45">
      <c r="A89" s="1">
        <v>74</v>
      </c>
      <c r="C89" s="1" t="s">
        <v>96</v>
      </c>
      <c r="D89" s="1" t="s">
        <v>33</v>
      </c>
      <c r="E89" s="1" t="s">
        <v>97</v>
      </c>
      <c r="F89" s="1">
        <f>SUM(H89:P89)</f>
        <v>16</v>
      </c>
      <c r="G89" s="1">
        <f>COUNTIF(I89:P89,1)</f>
        <v>3</v>
      </c>
      <c r="H89" s="1" t="s">
        <v>15</v>
      </c>
      <c r="I89" s="1">
        <v>1</v>
      </c>
      <c r="J89" s="1">
        <v>6</v>
      </c>
      <c r="K89" s="1" t="s">
        <v>16</v>
      </c>
      <c r="L89" s="1">
        <v>1</v>
      </c>
      <c r="M89" s="1">
        <v>2</v>
      </c>
      <c r="N89" s="1" t="s">
        <v>17</v>
      </c>
      <c r="O89" s="1">
        <v>1</v>
      </c>
      <c r="P89" s="1">
        <v>5</v>
      </c>
      <c r="S89" s="3">
        <v>155255</v>
      </c>
    </row>
    <row r="90" spans="1:20" ht="18" hidden="1" customHeight="1" x14ac:dyDescent="0.45">
      <c r="A90" s="1">
        <v>89</v>
      </c>
      <c r="C90" s="1" t="s">
        <v>126</v>
      </c>
      <c r="D90" s="1" t="s">
        <v>33</v>
      </c>
      <c r="E90" s="1" t="s">
        <v>127</v>
      </c>
      <c r="F90" s="1">
        <f>SUM(H90:P90)</f>
        <v>19</v>
      </c>
      <c r="G90" s="1"/>
      <c r="H90" s="1" t="s">
        <v>15</v>
      </c>
      <c r="I90" s="1">
        <v>6</v>
      </c>
      <c r="J90" s="1">
        <v>7</v>
      </c>
      <c r="K90" s="1" t="s">
        <v>16</v>
      </c>
      <c r="L90" s="1">
        <v>2</v>
      </c>
      <c r="M90" s="1">
        <v>1</v>
      </c>
      <c r="N90" s="1" t="s">
        <v>17</v>
      </c>
      <c r="O90" s="1">
        <v>2</v>
      </c>
      <c r="P90" s="1">
        <v>1</v>
      </c>
      <c r="Q90" s="1">
        <v>1</v>
      </c>
      <c r="S90" s="3">
        <v>777570</v>
      </c>
    </row>
    <row r="91" spans="1:20" ht="18" hidden="1" customHeight="1" x14ac:dyDescent="0.45">
      <c r="A91" s="1">
        <v>90</v>
      </c>
      <c r="C91" s="1" t="s">
        <v>128</v>
      </c>
      <c r="D91" s="1" t="s">
        <v>33</v>
      </c>
      <c r="E91" s="1" t="s">
        <v>129</v>
      </c>
      <c r="F91" s="1">
        <f>SUM(H91:P91)</f>
        <v>28</v>
      </c>
      <c r="G91" s="1"/>
      <c r="H91" s="1" t="s">
        <v>15</v>
      </c>
      <c r="I91" s="1">
        <v>7</v>
      </c>
      <c r="J91" s="1">
        <v>4</v>
      </c>
      <c r="K91" s="1" t="s">
        <v>16</v>
      </c>
      <c r="L91" s="1">
        <v>3</v>
      </c>
      <c r="M91" s="1">
        <v>4</v>
      </c>
      <c r="N91" s="1" t="s">
        <v>17</v>
      </c>
      <c r="O91" s="1">
        <v>2</v>
      </c>
      <c r="P91" s="1">
        <v>8</v>
      </c>
      <c r="T91" s="3">
        <v>9185575</v>
      </c>
    </row>
    <row r="92" spans="1:20" ht="18" hidden="1" customHeight="1" x14ac:dyDescent="0.45">
      <c r="A92" s="1">
        <v>91</v>
      </c>
      <c r="C92" s="1" t="s">
        <v>130</v>
      </c>
      <c r="D92" s="1" t="s">
        <v>33</v>
      </c>
      <c r="E92" s="1" t="s">
        <v>131</v>
      </c>
      <c r="F92" s="1">
        <f>SUM(H92:P92)</f>
        <v>22</v>
      </c>
      <c r="G92" s="1"/>
      <c r="H92" s="1" t="s">
        <v>15</v>
      </c>
      <c r="I92" s="1">
        <v>8</v>
      </c>
      <c r="J92" s="1">
        <v>3</v>
      </c>
      <c r="K92" s="1" t="s">
        <v>16</v>
      </c>
      <c r="L92" s="1">
        <v>6</v>
      </c>
      <c r="M92" s="1">
        <v>1</v>
      </c>
      <c r="N92" s="1" t="s">
        <v>17</v>
      </c>
      <c r="O92" s="1">
        <v>1</v>
      </c>
      <c r="P92" s="1">
        <v>3</v>
      </c>
      <c r="S92" s="3">
        <v>5486305</v>
      </c>
    </row>
    <row r="93" spans="1:20" ht="18" hidden="1" customHeight="1" x14ac:dyDescent="0.45">
      <c r="A93" s="1">
        <v>45</v>
      </c>
      <c r="C93" s="1" t="s">
        <v>49</v>
      </c>
      <c r="D93" s="1" t="s">
        <v>33</v>
      </c>
      <c r="E93" s="1" t="s">
        <v>21</v>
      </c>
      <c r="F93" s="1">
        <f>SUM(H93:P93)</f>
        <v>14</v>
      </c>
      <c r="G93" s="1">
        <f>COUNTIF(I93:P93,1)</f>
        <v>2</v>
      </c>
      <c r="H93" s="1" t="s">
        <v>15</v>
      </c>
      <c r="I93" s="1">
        <v>1</v>
      </c>
      <c r="J93" s="1">
        <v>2</v>
      </c>
      <c r="K93" s="1" t="s">
        <v>16</v>
      </c>
      <c r="L93" s="1">
        <v>2</v>
      </c>
      <c r="M93" s="1">
        <v>1</v>
      </c>
      <c r="N93" s="1" t="s">
        <v>17</v>
      </c>
      <c r="O93" s="1">
        <v>2</v>
      </c>
      <c r="P93" s="1">
        <v>6</v>
      </c>
      <c r="S93" s="3">
        <v>158440</v>
      </c>
    </row>
    <row r="94" spans="1:20" ht="18" hidden="1" customHeight="1" x14ac:dyDescent="0.45">
      <c r="A94" s="1">
        <v>93</v>
      </c>
      <c r="C94" s="1" t="s">
        <v>134</v>
      </c>
      <c r="D94" s="1" t="s">
        <v>33</v>
      </c>
      <c r="E94" s="1" t="s">
        <v>135</v>
      </c>
      <c r="F94" s="1">
        <f>SUM(H94:P94)</f>
        <v>14</v>
      </c>
      <c r="G94" s="1"/>
      <c r="H94" s="1" t="s">
        <v>15</v>
      </c>
      <c r="I94" s="1">
        <v>2</v>
      </c>
      <c r="J94" s="1">
        <v>1</v>
      </c>
      <c r="K94" s="1" t="s">
        <v>16</v>
      </c>
      <c r="L94" s="1">
        <v>1</v>
      </c>
      <c r="M94" s="1">
        <v>6</v>
      </c>
      <c r="N94" s="1" t="s">
        <v>17</v>
      </c>
      <c r="O94" s="1">
        <v>3</v>
      </c>
      <c r="P94" s="1">
        <v>1</v>
      </c>
      <c r="S94" s="3">
        <v>47735</v>
      </c>
    </row>
    <row r="95" spans="1:20" ht="18" hidden="1" customHeight="1" x14ac:dyDescent="0.45">
      <c r="A95" s="1">
        <v>94</v>
      </c>
      <c r="C95" s="1" t="s">
        <v>136</v>
      </c>
      <c r="D95" s="1" t="s">
        <v>59</v>
      </c>
      <c r="E95" s="1" t="s">
        <v>110</v>
      </c>
      <c r="F95" s="1">
        <f>SUM(H95:P95)</f>
        <v>10</v>
      </c>
      <c r="G95" s="1"/>
      <c r="H95" s="1" t="s">
        <v>15</v>
      </c>
      <c r="I95" s="1">
        <v>1</v>
      </c>
      <c r="J95" s="1">
        <v>2</v>
      </c>
      <c r="K95" s="1" t="s">
        <v>16</v>
      </c>
      <c r="L95" s="1">
        <v>1</v>
      </c>
      <c r="M95" s="1">
        <v>2</v>
      </c>
      <c r="N95" s="1" t="s">
        <v>17</v>
      </c>
      <c r="O95" s="1">
        <v>1</v>
      </c>
      <c r="P95" s="1">
        <v>3</v>
      </c>
      <c r="S95" s="3">
        <v>50645</v>
      </c>
    </row>
    <row r="96" spans="1:20" ht="18" hidden="1" customHeight="1" x14ac:dyDescent="0.45">
      <c r="A96" s="1">
        <v>95</v>
      </c>
      <c r="C96" s="1" t="s">
        <v>137</v>
      </c>
      <c r="D96" s="1" t="s">
        <v>59</v>
      </c>
      <c r="E96" s="1" t="s">
        <v>85</v>
      </c>
      <c r="F96" s="1">
        <f>SUM(H96:P96)</f>
        <v>16</v>
      </c>
      <c r="G96" s="1">
        <f>COUNTIF(I96:P96,1)</f>
        <v>2</v>
      </c>
      <c r="H96" s="1" t="s">
        <v>15</v>
      </c>
      <c r="I96" s="1">
        <v>1</v>
      </c>
      <c r="J96" s="1">
        <v>3</v>
      </c>
      <c r="K96" s="1" t="s">
        <v>16</v>
      </c>
      <c r="L96" s="1">
        <v>3</v>
      </c>
      <c r="M96" s="1">
        <v>1</v>
      </c>
      <c r="N96" s="1" t="s">
        <v>17</v>
      </c>
      <c r="O96" s="1">
        <v>3</v>
      </c>
      <c r="P96" s="1">
        <v>5</v>
      </c>
      <c r="S96" s="3">
        <v>969415</v>
      </c>
    </row>
    <row r="97" spans="1:20" ht="18" customHeight="1" x14ac:dyDescent="0.45">
      <c r="A97" s="1">
        <v>88</v>
      </c>
      <c r="C97" s="1" t="s">
        <v>125</v>
      </c>
      <c r="D97" s="1" t="s">
        <v>25</v>
      </c>
      <c r="E97" s="1" t="s">
        <v>31</v>
      </c>
      <c r="F97" s="1">
        <f>SUM(H97:P97)</f>
        <v>14</v>
      </c>
      <c r="G97" s="1">
        <f>COUNTIF(I97:P97,1)</f>
        <v>3</v>
      </c>
      <c r="H97" s="1" t="s">
        <v>15</v>
      </c>
      <c r="I97" s="1">
        <v>1</v>
      </c>
      <c r="J97" s="1">
        <v>2</v>
      </c>
      <c r="K97" s="1" t="s">
        <v>16</v>
      </c>
      <c r="L97" s="1">
        <v>1</v>
      </c>
      <c r="M97" s="1">
        <v>3</v>
      </c>
      <c r="N97" s="1" t="s">
        <v>17</v>
      </c>
      <c r="O97" s="1">
        <v>1</v>
      </c>
      <c r="P97" s="1">
        <v>6</v>
      </c>
      <c r="S97" s="2">
        <v>198470</v>
      </c>
      <c r="T97" s="2"/>
    </row>
    <row r="98" spans="1:20" ht="18" hidden="1" customHeight="1" x14ac:dyDescent="0.45">
      <c r="A98" s="1">
        <v>97</v>
      </c>
      <c r="C98" s="1" t="s">
        <v>138</v>
      </c>
      <c r="D98" s="1" t="s">
        <v>59</v>
      </c>
      <c r="E98" s="1" t="s">
        <v>29</v>
      </c>
      <c r="F98" s="1">
        <f>SUM(H98:P98)</f>
        <v>16</v>
      </c>
      <c r="G98" s="1"/>
      <c r="H98" s="1" t="s">
        <v>15</v>
      </c>
      <c r="I98" s="1">
        <v>1</v>
      </c>
      <c r="J98" s="1">
        <v>3</v>
      </c>
      <c r="K98" s="1" t="s">
        <v>16</v>
      </c>
      <c r="L98" s="1">
        <v>4</v>
      </c>
      <c r="M98" s="1">
        <v>3</v>
      </c>
      <c r="N98" s="1" t="s">
        <v>17</v>
      </c>
      <c r="O98" s="1">
        <v>3</v>
      </c>
      <c r="P98" s="1">
        <v>2</v>
      </c>
      <c r="T98" s="3">
        <v>8976513</v>
      </c>
    </row>
    <row r="99" spans="1:20" ht="18" hidden="1" customHeight="1" x14ac:dyDescent="0.45">
      <c r="A99" s="1">
        <v>98</v>
      </c>
      <c r="C99" s="1" t="s">
        <v>139</v>
      </c>
      <c r="D99" s="1" t="s">
        <v>59</v>
      </c>
      <c r="E99" s="1" t="s">
        <v>90</v>
      </c>
      <c r="F99" s="1">
        <f>SUM(H99:P99)</f>
        <v>24</v>
      </c>
      <c r="G99" s="1">
        <f>COUNTIF(I99:P99,1)</f>
        <v>2</v>
      </c>
      <c r="H99" s="1" t="s">
        <v>15</v>
      </c>
      <c r="I99" s="1">
        <v>3</v>
      </c>
      <c r="J99" s="1">
        <v>8</v>
      </c>
      <c r="K99" s="1" t="s">
        <v>16</v>
      </c>
      <c r="L99" s="1">
        <v>1</v>
      </c>
      <c r="M99" s="1">
        <v>2</v>
      </c>
      <c r="N99" s="1" t="s">
        <v>17</v>
      </c>
      <c r="O99" s="1">
        <v>1</v>
      </c>
      <c r="P99" s="1">
        <v>9</v>
      </c>
      <c r="S99" s="3">
        <v>1346380</v>
      </c>
    </row>
    <row r="100" spans="1:20" ht="18" hidden="1" customHeight="1" x14ac:dyDescent="0.45">
      <c r="A100" s="1">
        <v>99</v>
      </c>
      <c r="B100">
        <v>1</v>
      </c>
      <c r="C100" s="1" t="s">
        <v>140</v>
      </c>
      <c r="D100" s="1" t="s">
        <v>33</v>
      </c>
      <c r="E100" s="1" t="s">
        <v>141</v>
      </c>
      <c r="F100" s="1">
        <f>SUM(H100:P100)</f>
        <v>12</v>
      </c>
      <c r="G100" s="1"/>
      <c r="H100" s="1" t="s">
        <v>35</v>
      </c>
      <c r="I100" s="1">
        <v>3</v>
      </c>
      <c r="J100" s="1">
        <v>2</v>
      </c>
      <c r="K100" s="1" t="s">
        <v>36</v>
      </c>
      <c r="L100" s="1">
        <v>3</v>
      </c>
      <c r="M100" s="1">
        <v>1</v>
      </c>
      <c r="N100" s="1" t="s">
        <v>15</v>
      </c>
      <c r="O100" s="1">
        <v>2</v>
      </c>
      <c r="P100" s="1">
        <v>1</v>
      </c>
      <c r="S100" s="3">
        <v>128040</v>
      </c>
    </row>
    <row r="101" spans="1:20" ht="18" hidden="1" customHeight="1" x14ac:dyDescent="0.45">
      <c r="A101" s="1">
        <v>100</v>
      </c>
      <c r="C101" s="1" t="s">
        <v>142</v>
      </c>
      <c r="D101" s="1" t="s">
        <v>33</v>
      </c>
      <c r="E101" s="1" t="s">
        <v>60</v>
      </c>
      <c r="F101" s="1">
        <f>SUM(H101:P101)</f>
        <v>13</v>
      </c>
      <c r="G101" s="1"/>
      <c r="H101" s="1" t="s">
        <v>15</v>
      </c>
      <c r="I101" s="1">
        <v>3</v>
      </c>
      <c r="J101" s="1">
        <v>1</v>
      </c>
      <c r="K101" s="1" t="s">
        <v>16</v>
      </c>
      <c r="L101" s="1">
        <v>2</v>
      </c>
      <c r="M101" s="1">
        <v>4</v>
      </c>
      <c r="N101" s="1" t="s">
        <v>17</v>
      </c>
      <c r="O101" s="1">
        <v>1</v>
      </c>
      <c r="P101" s="1">
        <v>2</v>
      </c>
      <c r="S101" s="3">
        <v>256080</v>
      </c>
    </row>
    <row r="102" spans="1:20" ht="18" hidden="1" customHeight="1" x14ac:dyDescent="0.45">
      <c r="A102" s="1">
        <v>101</v>
      </c>
      <c r="C102" s="1" t="s">
        <v>143</v>
      </c>
      <c r="D102" s="1" t="s">
        <v>33</v>
      </c>
      <c r="E102" s="1" t="s">
        <v>62</v>
      </c>
      <c r="F102" s="1">
        <f>SUM(H102:P102)</f>
        <v>17</v>
      </c>
      <c r="G102" s="1"/>
      <c r="H102" s="1" t="s">
        <v>15</v>
      </c>
      <c r="I102" s="1">
        <v>3</v>
      </c>
      <c r="J102" s="1">
        <v>1</v>
      </c>
      <c r="K102" s="1" t="s">
        <v>16</v>
      </c>
      <c r="L102" s="1">
        <v>3</v>
      </c>
      <c r="M102" s="1">
        <v>1</v>
      </c>
      <c r="N102" s="1" t="s">
        <v>17</v>
      </c>
      <c r="O102" s="1">
        <v>8</v>
      </c>
      <c r="P102" s="1">
        <v>1</v>
      </c>
      <c r="S102" s="3">
        <v>788200</v>
      </c>
    </row>
    <row r="103" spans="1:20" ht="18" hidden="1" customHeight="1" x14ac:dyDescent="0.45">
      <c r="A103" s="1">
        <v>102</v>
      </c>
      <c r="C103" s="1" t="s">
        <v>144</v>
      </c>
      <c r="D103" s="1" t="s">
        <v>33</v>
      </c>
      <c r="E103" s="1" t="s">
        <v>64</v>
      </c>
      <c r="F103" s="1">
        <f>SUM(H103:P103)</f>
        <v>19</v>
      </c>
      <c r="G103" s="1">
        <f>COUNTIF(I103:P103,1)</f>
        <v>1</v>
      </c>
      <c r="H103" s="1" t="s">
        <v>15</v>
      </c>
      <c r="I103" s="1">
        <v>4</v>
      </c>
      <c r="J103" s="1">
        <v>2</v>
      </c>
      <c r="K103" s="1" t="s">
        <v>16</v>
      </c>
      <c r="L103" s="1">
        <v>5</v>
      </c>
      <c r="M103" s="1">
        <v>1</v>
      </c>
      <c r="N103" s="1" t="s">
        <v>17</v>
      </c>
      <c r="O103" s="1">
        <v>2</v>
      </c>
      <c r="P103" s="1">
        <v>5</v>
      </c>
      <c r="S103" s="3">
        <v>11566985</v>
      </c>
    </row>
    <row r="104" spans="1:20" ht="18" hidden="1" customHeight="1" x14ac:dyDescent="0.45">
      <c r="A104" s="1">
        <v>103</v>
      </c>
      <c r="C104" s="1" t="s">
        <v>32</v>
      </c>
      <c r="D104" s="1" t="s">
        <v>33</v>
      </c>
      <c r="E104" s="1" t="s">
        <v>34</v>
      </c>
      <c r="F104" s="1">
        <f>SUM(H104:P104)</f>
        <v>14</v>
      </c>
      <c r="G104" s="1"/>
      <c r="H104" s="1" t="s">
        <v>35</v>
      </c>
      <c r="I104" s="1">
        <v>1</v>
      </c>
      <c r="J104" s="1">
        <v>3</v>
      </c>
      <c r="K104" s="1" t="s">
        <v>36</v>
      </c>
      <c r="L104" s="1">
        <v>3</v>
      </c>
      <c r="M104" s="1">
        <v>2</v>
      </c>
      <c r="N104" s="1" t="s">
        <v>15</v>
      </c>
      <c r="O104" s="1">
        <v>4</v>
      </c>
      <c r="P104" s="1">
        <v>1</v>
      </c>
      <c r="S104" s="3">
        <v>180470</v>
      </c>
    </row>
    <row r="105" spans="1:20" ht="18" hidden="1" customHeight="1" x14ac:dyDescent="0.45">
      <c r="A105" s="1">
        <v>104</v>
      </c>
      <c r="C105" s="1" t="s">
        <v>145</v>
      </c>
      <c r="D105" s="1" t="s">
        <v>33</v>
      </c>
      <c r="E105" s="1" t="s">
        <v>67</v>
      </c>
      <c r="F105" s="1">
        <f>SUM(H105:P105)</f>
        <v>20</v>
      </c>
      <c r="G105" s="1">
        <f>COUNTIF(I105:P105,1)</f>
        <v>2</v>
      </c>
      <c r="H105" s="1" t="s">
        <v>146</v>
      </c>
      <c r="I105" s="1">
        <v>3</v>
      </c>
      <c r="J105" s="1">
        <v>5</v>
      </c>
      <c r="K105" s="1" t="s">
        <v>147</v>
      </c>
      <c r="L105" s="1">
        <v>2</v>
      </c>
      <c r="M105" s="1">
        <v>1</v>
      </c>
      <c r="N105" s="1" t="s">
        <v>35</v>
      </c>
      <c r="O105" s="1">
        <v>1</v>
      </c>
      <c r="P105" s="1">
        <v>8</v>
      </c>
      <c r="S105" s="3">
        <v>303050</v>
      </c>
    </row>
    <row r="106" spans="1:20" ht="18" hidden="1" customHeight="1" x14ac:dyDescent="0.45">
      <c r="A106" s="1">
        <v>105</v>
      </c>
      <c r="C106" s="1" t="s">
        <v>148</v>
      </c>
      <c r="D106" s="1" t="s">
        <v>28</v>
      </c>
      <c r="E106" s="1" t="s">
        <v>117</v>
      </c>
      <c r="F106" s="1">
        <f>SUM(H106:P106)</f>
        <v>11</v>
      </c>
      <c r="G106" s="1"/>
      <c r="H106" s="1" t="s">
        <v>15</v>
      </c>
      <c r="I106" s="1">
        <v>1</v>
      </c>
      <c r="J106" s="1">
        <v>2</v>
      </c>
      <c r="K106" s="1" t="s">
        <v>16</v>
      </c>
      <c r="L106" s="1">
        <v>4</v>
      </c>
      <c r="M106" s="1">
        <v>1</v>
      </c>
      <c r="N106" s="1" t="s">
        <v>17</v>
      </c>
      <c r="O106" s="1">
        <v>1</v>
      </c>
      <c r="P106" s="1">
        <v>2</v>
      </c>
      <c r="S106" s="3">
        <v>152145</v>
      </c>
    </row>
    <row r="107" spans="1:20" ht="18" hidden="1" customHeight="1" x14ac:dyDescent="0.45">
      <c r="A107" s="1">
        <v>106</v>
      </c>
      <c r="C107" s="1" t="s">
        <v>149</v>
      </c>
      <c r="D107" s="1" t="s">
        <v>28</v>
      </c>
      <c r="E107" s="1" t="s">
        <v>119</v>
      </c>
      <c r="F107" s="1">
        <f>SUM(H107:P107)</f>
        <v>18</v>
      </c>
      <c r="G107" s="1"/>
      <c r="H107" s="1" t="s">
        <v>15</v>
      </c>
      <c r="I107" s="1">
        <v>1</v>
      </c>
      <c r="J107" s="1">
        <v>3</v>
      </c>
      <c r="K107" s="1" t="s">
        <v>16</v>
      </c>
      <c r="L107" s="1">
        <v>5</v>
      </c>
      <c r="M107" s="1">
        <v>1</v>
      </c>
      <c r="N107" s="1" t="s">
        <v>17</v>
      </c>
      <c r="O107" s="1">
        <v>5</v>
      </c>
      <c r="P107" s="1">
        <v>3</v>
      </c>
      <c r="S107" s="3">
        <v>2550410</v>
      </c>
    </row>
    <row r="108" spans="1:20" ht="18" hidden="1" customHeight="1" x14ac:dyDescent="0.45">
      <c r="A108" s="1">
        <v>107</v>
      </c>
      <c r="C108" s="1" t="s">
        <v>150</v>
      </c>
      <c r="D108" s="1" t="s">
        <v>28</v>
      </c>
      <c r="E108" s="1" t="s">
        <v>122</v>
      </c>
      <c r="F108" s="1">
        <f>SUM(H108:P108)</f>
        <v>13</v>
      </c>
      <c r="G108" s="1">
        <f>COUNTIF(I108:P108,1)</f>
        <v>3</v>
      </c>
      <c r="H108" s="1" t="s">
        <v>15</v>
      </c>
      <c r="I108" s="1">
        <v>3</v>
      </c>
      <c r="J108" s="1">
        <v>1</v>
      </c>
      <c r="K108" s="1" t="s">
        <v>16</v>
      </c>
      <c r="L108" s="1">
        <v>1</v>
      </c>
      <c r="M108" s="1">
        <v>2</v>
      </c>
      <c r="N108" s="1" t="s">
        <v>17</v>
      </c>
      <c r="O108" s="1">
        <v>1</v>
      </c>
      <c r="P108" s="1">
        <v>5</v>
      </c>
      <c r="S108" s="3">
        <v>23030</v>
      </c>
    </row>
    <row r="109" spans="1:20" ht="18" hidden="1" customHeight="1" x14ac:dyDescent="0.45">
      <c r="A109" s="1">
        <v>108</v>
      </c>
      <c r="C109" s="1" t="s">
        <v>151</v>
      </c>
      <c r="D109" s="1" t="s">
        <v>28</v>
      </c>
      <c r="E109" s="1" t="s">
        <v>124</v>
      </c>
      <c r="F109" s="1">
        <f>SUM(H109:P109)</f>
        <v>13</v>
      </c>
      <c r="G109" s="1"/>
      <c r="H109" s="1" t="s">
        <v>15</v>
      </c>
      <c r="I109" s="1">
        <v>3</v>
      </c>
      <c r="J109" s="1">
        <v>1</v>
      </c>
      <c r="K109" s="1" t="s">
        <v>16</v>
      </c>
      <c r="L109" s="1">
        <v>3</v>
      </c>
      <c r="M109" s="1">
        <v>1</v>
      </c>
      <c r="N109" s="1" t="s">
        <v>17</v>
      </c>
      <c r="O109" s="1">
        <v>3</v>
      </c>
      <c r="P109" s="1">
        <v>2</v>
      </c>
      <c r="S109" s="3">
        <v>503265</v>
      </c>
    </row>
    <row r="110" spans="1:20" ht="18" hidden="1" customHeight="1" x14ac:dyDescent="0.45">
      <c r="A110" s="1">
        <v>145</v>
      </c>
      <c r="C110" s="1" t="s">
        <v>193</v>
      </c>
      <c r="D110" s="1" t="s">
        <v>33</v>
      </c>
      <c r="E110" s="1" t="s">
        <v>122</v>
      </c>
      <c r="F110" s="1">
        <f>SUM(H110:P110)</f>
        <v>13</v>
      </c>
      <c r="G110" s="1"/>
      <c r="H110" s="1" t="s">
        <v>35</v>
      </c>
      <c r="I110" s="1">
        <v>2</v>
      </c>
      <c r="J110" s="1">
        <v>3</v>
      </c>
      <c r="K110" s="1" t="s">
        <v>36</v>
      </c>
      <c r="L110" s="1">
        <v>1</v>
      </c>
      <c r="M110" s="1">
        <v>3</v>
      </c>
      <c r="N110" s="1" t="s">
        <v>15</v>
      </c>
      <c r="O110" s="1">
        <v>1</v>
      </c>
      <c r="P110" s="1">
        <v>3</v>
      </c>
      <c r="S110" s="3">
        <v>51960</v>
      </c>
    </row>
    <row r="111" spans="1:20" ht="18" customHeight="1" x14ac:dyDescent="0.45">
      <c r="A111" s="1">
        <v>110</v>
      </c>
      <c r="C111" s="1" t="s">
        <v>152</v>
      </c>
      <c r="D111" s="1" t="s">
        <v>25</v>
      </c>
      <c r="E111" s="1" t="s">
        <v>153</v>
      </c>
      <c r="F111" s="1">
        <f>SUM(H111:P111)</f>
        <v>18</v>
      </c>
      <c r="G111" s="1">
        <f>COUNTIF(I111:P111,1)</f>
        <v>2</v>
      </c>
      <c r="H111" s="1" t="s">
        <v>15</v>
      </c>
      <c r="I111" s="1">
        <v>2</v>
      </c>
      <c r="J111" s="1">
        <v>1</v>
      </c>
      <c r="K111" s="1" t="s">
        <v>16</v>
      </c>
      <c r="L111" s="1">
        <v>2</v>
      </c>
      <c r="M111" s="1">
        <v>4</v>
      </c>
      <c r="N111" s="1" t="s">
        <v>17</v>
      </c>
      <c r="O111" s="1">
        <v>1</v>
      </c>
      <c r="P111" s="1">
        <v>8</v>
      </c>
      <c r="S111" s="2">
        <v>1679045</v>
      </c>
      <c r="T111" s="2"/>
    </row>
    <row r="112" spans="1:20" ht="18" customHeight="1" x14ac:dyDescent="0.45">
      <c r="A112" s="1">
        <v>111</v>
      </c>
      <c r="C112" s="1" t="s">
        <v>154</v>
      </c>
      <c r="D112" s="1" t="s">
        <v>25</v>
      </c>
      <c r="E112" s="1" t="s">
        <v>19</v>
      </c>
      <c r="F112" s="1">
        <f>SUM(H112:P112)</f>
        <v>22</v>
      </c>
      <c r="G112" s="1">
        <f>COUNTIF(I112:P112,1)</f>
        <v>1</v>
      </c>
      <c r="H112" s="1" t="s">
        <v>15</v>
      </c>
      <c r="I112" s="1">
        <v>4</v>
      </c>
      <c r="J112" s="1">
        <v>3</v>
      </c>
      <c r="K112" s="1" t="s">
        <v>16</v>
      </c>
      <c r="L112" s="1">
        <v>1</v>
      </c>
      <c r="M112" s="1">
        <v>3</v>
      </c>
      <c r="N112" s="1" t="s">
        <v>17</v>
      </c>
      <c r="O112" s="1">
        <v>6</v>
      </c>
      <c r="P112" s="1">
        <v>5</v>
      </c>
      <c r="S112" s="2">
        <v>1660545</v>
      </c>
      <c r="T112" s="2"/>
    </row>
    <row r="113" spans="1:20" ht="18" customHeight="1" x14ac:dyDescent="0.45">
      <c r="A113" s="1">
        <v>252</v>
      </c>
      <c r="C113" s="1" t="s">
        <v>316</v>
      </c>
      <c r="D113" s="1" t="s">
        <v>25</v>
      </c>
      <c r="E113" s="1" t="s">
        <v>99</v>
      </c>
      <c r="F113" s="1">
        <f>SUM(H113:P113)</f>
        <v>11</v>
      </c>
      <c r="G113" s="1"/>
      <c r="H113" s="1" t="s">
        <v>15</v>
      </c>
      <c r="I113" s="1">
        <v>2</v>
      </c>
      <c r="J113" s="1">
        <v>1</v>
      </c>
      <c r="K113" s="1" t="s">
        <v>16</v>
      </c>
      <c r="L113" s="1">
        <v>1</v>
      </c>
      <c r="M113" s="1">
        <v>3</v>
      </c>
      <c r="N113" s="1" t="s">
        <v>17</v>
      </c>
      <c r="O113" s="1">
        <v>1</v>
      </c>
      <c r="P113" s="1">
        <v>3</v>
      </c>
      <c r="Q113" s="1">
        <v>1</v>
      </c>
      <c r="S113" s="2">
        <v>57190</v>
      </c>
      <c r="T113" s="2"/>
    </row>
    <row r="114" spans="1:20" ht="18" customHeight="1" x14ac:dyDescent="0.45">
      <c r="A114" s="1">
        <v>113</v>
      </c>
      <c r="C114" s="1" t="s">
        <v>157</v>
      </c>
      <c r="D114" s="1" t="s">
        <v>25</v>
      </c>
      <c r="E114" s="1" t="s">
        <v>158</v>
      </c>
      <c r="F114" s="1">
        <f>SUM(H114:P114)</f>
        <v>23</v>
      </c>
      <c r="G114" s="1">
        <f>COUNTIF(I114:P114,1)</f>
        <v>2</v>
      </c>
      <c r="H114" s="1" t="s">
        <v>15</v>
      </c>
      <c r="I114" s="1">
        <v>1</v>
      </c>
      <c r="J114" s="1">
        <v>4</v>
      </c>
      <c r="K114" s="1" t="s">
        <v>16</v>
      </c>
      <c r="L114" s="1">
        <v>1</v>
      </c>
      <c r="M114" s="1">
        <v>8</v>
      </c>
      <c r="N114" s="1" t="s">
        <v>17</v>
      </c>
      <c r="O114" s="1">
        <v>4</v>
      </c>
      <c r="P114" s="1">
        <v>5</v>
      </c>
      <c r="S114" s="2">
        <v>2232100</v>
      </c>
      <c r="T114" s="2"/>
    </row>
    <row r="115" spans="1:20" ht="18" customHeight="1" x14ac:dyDescent="0.45">
      <c r="A115" s="1">
        <v>114</v>
      </c>
      <c r="C115" s="1" t="s">
        <v>159</v>
      </c>
      <c r="D115" s="1" t="s">
        <v>25</v>
      </c>
      <c r="E115" s="1" t="s">
        <v>160</v>
      </c>
      <c r="F115" s="1">
        <f>SUM(H115:P115)</f>
        <v>14</v>
      </c>
      <c r="G115" s="1"/>
      <c r="H115" s="1" t="s">
        <v>15</v>
      </c>
      <c r="I115" s="1">
        <v>3</v>
      </c>
      <c r="J115" s="1">
        <v>1</v>
      </c>
      <c r="K115" s="1" t="s">
        <v>16</v>
      </c>
      <c r="L115" s="1">
        <v>1</v>
      </c>
      <c r="M115" s="1">
        <v>4</v>
      </c>
      <c r="N115" s="1" t="s">
        <v>17</v>
      </c>
      <c r="O115" s="1">
        <v>2</v>
      </c>
      <c r="P115" s="1">
        <v>3</v>
      </c>
      <c r="S115" s="2">
        <v>212130</v>
      </c>
      <c r="T115" s="2"/>
    </row>
    <row r="116" spans="1:20" ht="18" hidden="1" customHeight="1" x14ac:dyDescent="0.45">
      <c r="A116" s="1">
        <v>115</v>
      </c>
      <c r="C116" s="1" t="s">
        <v>161</v>
      </c>
      <c r="D116" s="1" t="s">
        <v>33</v>
      </c>
      <c r="E116" s="1" t="s">
        <v>69</v>
      </c>
      <c r="F116" s="1">
        <f>SUM(H116:P116)</f>
        <v>19</v>
      </c>
      <c r="G116" s="1"/>
      <c r="H116" s="1" t="s">
        <v>15</v>
      </c>
      <c r="I116" s="1">
        <v>4</v>
      </c>
      <c r="J116" s="1">
        <v>2</v>
      </c>
      <c r="K116" s="1" t="s">
        <v>16</v>
      </c>
      <c r="L116" s="1">
        <v>6</v>
      </c>
      <c r="M116" s="1">
        <v>4</v>
      </c>
      <c r="N116" s="1" t="s">
        <v>17</v>
      </c>
      <c r="O116" s="1">
        <v>1</v>
      </c>
      <c r="P116" s="1">
        <v>2</v>
      </c>
      <c r="S116" s="3">
        <v>16870705</v>
      </c>
    </row>
    <row r="117" spans="1:20" ht="18" hidden="1" customHeight="1" x14ac:dyDescent="0.45">
      <c r="A117" s="1">
        <v>196</v>
      </c>
      <c r="C117" s="1" t="s">
        <v>247</v>
      </c>
      <c r="D117" s="1" t="s">
        <v>33</v>
      </c>
      <c r="E117" s="1" t="s">
        <v>215</v>
      </c>
      <c r="F117" s="1">
        <f>SUM(H117:P117)</f>
        <v>15</v>
      </c>
      <c r="G117" s="1">
        <f>COUNTIF(I117:P117,1)</f>
        <v>3</v>
      </c>
      <c r="H117" s="1" t="s">
        <v>15</v>
      </c>
      <c r="I117" s="1">
        <v>1</v>
      </c>
      <c r="J117" s="1">
        <v>3</v>
      </c>
      <c r="K117" s="1" t="s">
        <v>16</v>
      </c>
      <c r="L117" s="1">
        <v>1</v>
      </c>
      <c r="M117" s="1">
        <v>3</v>
      </c>
      <c r="N117" s="1" t="s">
        <v>17</v>
      </c>
      <c r="O117" s="1">
        <v>1</v>
      </c>
      <c r="P117" s="1">
        <v>6</v>
      </c>
      <c r="S117" s="3">
        <v>290855</v>
      </c>
    </row>
    <row r="118" spans="1:20" ht="18" hidden="1" customHeight="1" x14ac:dyDescent="0.45">
      <c r="A118" s="1">
        <v>117</v>
      </c>
      <c r="C118" s="1" t="s">
        <v>163</v>
      </c>
      <c r="D118" s="1" t="s">
        <v>33</v>
      </c>
      <c r="E118" s="1" t="s">
        <v>52</v>
      </c>
      <c r="F118" s="1">
        <f>SUM(H118:P118)</f>
        <v>24</v>
      </c>
      <c r="G118" s="1"/>
      <c r="H118" s="1" t="s">
        <v>15</v>
      </c>
      <c r="I118" s="1">
        <v>8</v>
      </c>
      <c r="J118" s="1">
        <v>3</v>
      </c>
      <c r="K118" s="1" t="s">
        <v>16</v>
      </c>
      <c r="L118" s="1">
        <v>3</v>
      </c>
      <c r="M118" s="1">
        <v>1</v>
      </c>
      <c r="N118" s="1" t="s">
        <v>17</v>
      </c>
      <c r="O118" s="1">
        <v>8</v>
      </c>
      <c r="P118" s="1">
        <v>1</v>
      </c>
      <c r="T118" s="3">
        <v>12270391</v>
      </c>
    </row>
    <row r="119" spans="1:20" ht="18" hidden="1" customHeight="1" x14ac:dyDescent="0.45">
      <c r="A119" s="1">
        <v>118</v>
      </c>
      <c r="C119" s="1" t="s">
        <v>164</v>
      </c>
      <c r="D119" s="1" t="s">
        <v>33</v>
      </c>
      <c r="E119" s="1" t="s">
        <v>55</v>
      </c>
      <c r="F119" s="1">
        <f>SUM(H119:P119)</f>
        <v>19</v>
      </c>
      <c r="G119" s="1"/>
      <c r="H119" s="1" t="s">
        <v>15</v>
      </c>
      <c r="I119" s="1">
        <v>1</v>
      </c>
      <c r="J119" s="1">
        <v>6</v>
      </c>
      <c r="K119" s="1" t="s">
        <v>16</v>
      </c>
      <c r="L119" s="1">
        <v>6</v>
      </c>
      <c r="M119" s="1">
        <v>3</v>
      </c>
      <c r="N119" s="1" t="s">
        <v>17</v>
      </c>
      <c r="O119" s="1">
        <v>1</v>
      </c>
      <c r="P119" s="1">
        <v>2</v>
      </c>
      <c r="S119" s="3">
        <v>227450</v>
      </c>
    </row>
    <row r="120" spans="1:20" ht="18" hidden="1" customHeight="1" x14ac:dyDescent="0.45">
      <c r="A120" s="1">
        <v>119</v>
      </c>
      <c r="C120" s="1" t="s">
        <v>165</v>
      </c>
      <c r="D120" s="1" t="s">
        <v>33</v>
      </c>
      <c r="E120" s="1" t="s">
        <v>57</v>
      </c>
      <c r="F120" s="1">
        <f>SUM(H120:P120)</f>
        <v>28</v>
      </c>
      <c r="G120" s="1"/>
      <c r="H120" s="1" t="s">
        <v>15</v>
      </c>
      <c r="I120" s="1">
        <v>1</v>
      </c>
      <c r="J120" s="1">
        <v>2</v>
      </c>
      <c r="K120" s="1" t="s">
        <v>16</v>
      </c>
      <c r="L120" s="1">
        <v>3</v>
      </c>
      <c r="M120" s="1">
        <v>11</v>
      </c>
      <c r="N120" s="1" t="s">
        <v>17</v>
      </c>
      <c r="O120" s="1">
        <v>4</v>
      </c>
      <c r="P120" s="1">
        <v>7</v>
      </c>
      <c r="S120" s="3">
        <v>14634025</v>
      </c>
    </row>
    <row r="121" spans="1:20" ht="18" hidden="1" customHeight="1" x14ac:dyDescent="0.45">
      <c r="A121" s="1">
        <v>120</v>
      </c>
      <c r="C121" s="1" t="s">
        <v>166</v>
      </c>
      <c r="D121" s="1" t="s">
        <v>59</v>
      </c>
      <c r="E121" s="1" t="s">
        <v>117</v>
      </c>
      <c r="F121" s="1">
        <f>SUM(H121:P121)</f>
        <v>18</v>
      </c>
      <c r="G121" s="1"/>
      <c r="H121" s="1" t="s">
        <v>15</v>
      </c>
      <c r="I121" s="1">
        <v>6</v>
      </c>
      <c r="J121" s="1">
        <v>1</v>
      </c>
      <c r="K121" s="1" t="s">
        <v>16</v>
      </c>
      <c r="L121" s="1">
        <v>1</v>
      </c>
      <c r="M121" s="1">
        <v>4</v>
      </c>
      <c r="N121" s="1" t="s">
        <v>17</v>
      </c>
      <c r="O121" s="1">
        <v>5</v>
      </c>
      <c r="P121" s="1">
        <v>1</v>
      </c>
      <c r="S121" s="3">
        <v>2588245</v>
      </c>
    </row>
    <row r="122" spans="1:20" ht="18" hidden="1" customHeight="1" x14ac:dyDescent="0.45">
      <c r="A122" s="1">
        <v>121</v>
      </c>
      <c r="C122" s="1" t="s">
        <v>167</v>
      </c>
      <c r="D122" s="1" t="s">
        <v>59</v>
      </c>
      <c r="E122" s="1" t="s">
        <v>122</v>
      </c>
      <c r="F122" s="1">
        <f>SUM(H122:P122)</f>
        <v>19</v>
      </c>
      <c r="G122" s="1">
        <f>COUNTIF(I122:P122,1)</f>
        <v>1</v>
      </c>
      <c r="H122" s="1" t="s">
        <v>15</v>
      </c>
      <c r="I122" s="1">
        <v>3</v>
      </c>
      <c r="J122" s="1">
        <v>1</v>
      </c>
      <c r="K122" s="1" t="s">
        <v>16</v>
      </c>
      <c r="L122" s="1">
        <v>2</v>
      </c>
      <c r="M122" s="1">
        <v>4</v>
      </c>
      <c r="N122" s="1" t="s">
        <v>17</v>
      </c>
      <c r="O122" s="1">
        <v>3</v>
      </c>
      <c r="P122" s="1">
        <v>6</v>
      </c>
      <c r="S122" s="3">
        <v>1407060</v>
      </c>
    </row>
    <row r="123" spans="1:20" ht="18" hidden="1" customHeight="1" x14ac:dyDescent="0.45">
      <c r="A123" s="1">
        <v>122</v>
      </c>
      <c r="C123" s="1" t="s">
        <v>168</v>
      </c>
      <c r="D123" s="1" t="s">
        <v>59</v>
      </c>
      <c r="E123" s="1" t="s">
        <v>124</v>
      </c>
      <c r="F123" s="1">
        <f>SUM(H123:P123)</f>
        <v>21</v>
      </c>
      <c r="G123" s="1"/>
      <c r="H123" s="1" t="s">
        <v>15</v>
      </c>
      <c r="I123" s="1">
        <v>2</v>
      </c>
      <c r="J123" s="1">
        <v>7</v>
      </c>
      <c r="K123" s="1" t="s">
        <v>16</v>
      </c>
      <c r="L123" s="1">
        <v>1</v>
      </c>
      <c r="M123" s="1">
        <v>3</v>
      </c>
      <c r="N123" s="1" t="s">
        <v>17</v>
      </c>
      <c r="O123" s="1">
        <v>7</v>
      </c>
      <c r="P123" s="1">
        <v>1</v>
      </c>
      <c r="S123" s="3">
        <v>2788005</v>
      </c>
    </row>
    <row r="124" spans="1:20" ht="18" hidden="1" customHeight="1" x14ac:dyDescent="0.45">
      <c r="A124" s="1">
        <v>123</v>
      </c>
      <c r="C124" s="1" t="s">
        <v>169</v>
      </c>
      <c r="D124" s="1" t="s">
        <v>59</v>
      </c>
      <c r="E124" s="1" t="s">
        <v>31</v>
      </c>
      <c r="F124" s="1">
        <f>SUM(H124:P124)</f>
        <v>26</v>
      </c>
      <c r="G124" s="1">
        <v>1</v>
      </c>
      <c r="H124" s="1" t="s">
        <v>15</v>
      </c>
      <c r="I124" s="1">
        <v>2</v>
      </c>
      <c r="J124" s="1">
        <v>10</v>
      </c>
      <c r="K124" s="1" t="s">
        <v>16</v>
      </c>
      <c r="L124" s="1">
        <v>1</v>
      </c>
      <c r="M124" s="1">
        <v>8</v>
      </c>
      <c r="N124" s="1" t="s">
        <v>17</v>
      </c>
      <c r="O124" s="1">
        <v>1</v>
      </c>
      <c r="P124" s="1">
        <v>4</v>
      </c>
      <c r="S124" s="3">
        <v>2502045</v>
      </c>
    </row>
    <row r="125" spans="1:20" ht="18" hidden="1" customHeight="1" x14ac:dyDescent="0.45">
      <c r="A125" s="1">
        <v>124</v>
      </c>
      <c r="C125" s="1" t="s">
        <v>170</v>
      </c>
      <c r="D125" s="1" t="s">
        <v>33</v>
      </c>
      <c r="E125" s="1" t="s">
        <v>110</v>
      </c>
      <c r="F125" s="1">
        <f>SUM(H125:P125)</f>
        <v>27</v>
      </c>
      <c r="G125" s="1"/>
      <c r="H125" s="1" t="s">
        <v>15</v>
      </c>
      <c r="I125" s="1">
        <v>3</v>
      </c>
      <c r="J125" s="1">
        <v>6</v>
      </c>
      <c r="K125" s="1" t="s">
        <v>16</v>
      </c>
      <c r="L125" s="1">
        <v>2</v>
      </c>
      <c r="M125" s="1">
        <v>6</v>
      </c>
      <c r="N125" s="1" t="s">
        <v>17</v>
      </c>
      <c r="O125" s="1">
        <v>1</v>
      </c>
      <c r="P125" s="1">
        <v>9</v>
      </c>
      <c r="S125" s="3">
        <v>3870820</v>
      </c>
    </row>
    <row r="126" spans="1:20" ht="18" hidden="1" customHeight="1" x14ac:dyDescent="0.45">
      <c r="A126" s="1">
        <v>257</v>
      </c>
      <c r="C126" s="1" t="s">
        <v>321</v>
      </c>
      <c r="D126" s="1" t="s">
        <v>28</v>
      </c>
      <c r="E126" s="1" t="s">
        <v>77</v>
      </c>
      <c r="F126" s="1">
        <f>SUM(H126:P126)</f>
        <v>21</v>
      </c>
      <c r="G126" s="1"/>
      <c r="H126" s="1" t="s">
        <v>15</v>
      </c>
      <c r="I126" s="1">
        <v>1</v>
      </c>
      <c r="J126" s="1">
        <v>6</v>
      </c>
      <c r="K126" s="1" t="s">
        <v>16</v>
      </c>
      <c r="L126" s="1">
        <v>2</v>
      </c>
      <c r="M126" s="1">
        <v>3</v>
      </c>
      <c r="N126" s="1" t="s">
        <v>17</v>
      </c>
      <c r="O126" s="1">
        <v>2</v>
      </c>
      <c r="P126" s="1">
        <v>7</v>
      </c>
      <c r="S126" s="3">
        <v>308855</v>
      </c>
    </row>
    <row r="127" spans="1:20" ht="18" hidden="1" customHeight="1" x14ac:dyDescent="0.45">
      <c r="A127" s="1">
        <v>126</v>
      </c>
      <c r="C127" s="1" t="s">
        <v>172</v>
      </c>
      <c r="D127" s="1" t="s">
        <v>33</v>
      </c>
      <c r="E127" s="1" t="s">
        <v>87</v>
      </c>
      <c r="F127" s="1">
        <f>SUM(H127:P127)</f>
        <v>23</v>
      </c>
      <c r="G127" s="1"/>
      <c r="H127" s="1" t="s">
        <v>15</v>
      </c>
      <c r="I127" s="1">
        <v>1</v>
      </c>
      <c r="J127" s="1">
        <v>3</v>
      </c>
      <c r="K127" s="1" t="s">
        <v>16</v>
      </c>
      <c r="L127" s="1">
        <v>1</v>
      </c>
      <c r="M127" s="1">
        <v>9</v>
      </c>
      <c r="N127" s="1" t="s">
        <v>17</v>
      </c>
      <c r="O127" s="1">
        <v>6</v>
      </c>
      <c r="P127" s="1">
        <v>3</v>
      </c>
      <c r="T127" s="3">
        <v>13230462</v>
      </c>
    </row>
    <row r="128" spans="1:20" ht="18" hidden="1" customHeight="1" x14ac:dyDescent="0.45">
      <c r="A128" s="1">
        <v>127</v>
      </c>
      <c r="C128" s="1" t="s">
        <v>173</v>
      </c>
      <c r="D128" s="1" t="s">
        <v>33</v>
      </c>
      <c r="E128" s="1" t="s">
        <v>29</v>
      </c>
      <c r="F128" s="1">
        <f>SUM(H128:P128)</f>
        <v>17</v>
      </c>
      <c r="G128" s="1">
        <f>COUNTIF(I128:P128,1)</f>
        <v>1</v>
      </c>
      <c r="H128" s="1" t="s">
        <v>15</v>
      </c>
      <c r="I128" s="1">
        <v>2</v>
      </c>
      <c r="J128" s="1">
        <v>1</v>
      </c>
      <c r="K128" s="1" t="s">
        <v>16</v>
      </c>
      <c r="L128" s="1">
        <v>2</v>
      </c>
      <c r="M128" s="1">
        <v>3</v>
      </c>
      <c r="N128" s="1" t="s">
        <v>17</v>
      </c>
      <c r="O128" s="1">
        <v>4</v>
      </c>
      <c r="P128" s="1">
        <v>5</v>
      </c>
      <c r="S128" s="3">
        <v>641925</v>
      </c>
    </row>
    <row r="129" spans="1:20" ht="18" hidden="1" customHeight="1" x14ac:dyDescent="0.45">
      <c r="A129" s="1">
        <v>128</v>
      </c>
      <c r="C129" s="1" t="s">
        <v>174</v>
      </c>
      <c r="D129" s="1" t="s">
        <v>33</v>
      </c>
      <c r="E129" s="1" t="s">
        <v>90</v>
      </c>
      <c r="F129" s="1">
        <f>SUM(H129:P129)</f>
        <v>15</v>
      </c>
      <c r="G129" s="1"/>
      <c r="H129" s="1" t="s">
        <v>15</v>
      </c>
      <c r="I129" s="1">
        <v>1</v>
      </c>
      <c r="J129" s="1">
        <v>3</v>
      </c>
      <c r="K129" s="1" t="s">
        <v>16</v>
      </c>
      <c r="L129" s="1">
        <v>7</v>
      </c>
      <c r="M129" s="1">
        <v>1</v>
      </c>
      <c r="N129" s="1" t="s">
        <v>17</v>
      </c>
      <c r="O129" s="1">
        <v>1</v>
      </c>
      <c r="P129" s="1">
        <v>2</v>
      </c>
      <c r="S129" s="3">
        <v>228825</v>
      </c>
    </row>
    <row r="130" spans="1:20" ht="18" hidden="1" customHeight="1" x14ac:dyDescent="0.45">
      <c r="A130" s="1">
        <v>129</v>
      </c>
      <c r="C130" s="1" t="s">
        <v>175</v>
      </c>
      <c r="D130" s="1" t="s">
        <v>28</v>
      </c>
      <c r="E130" s="1" t="s">
        <v>153</v>
      </c>
      <c r="F130" s="1">
        <f>SUM(H130:P130)</f>
        <v>12</v>
      </c>
      <c r="G130" s="1"/>
      <c r="H130" s="1" t="s">
        <v>15</v>
      </c>
      <c r="I130" s="1">
        <v>2</v>
      </c>
      <c r="J130" s="1">
        <v>1</v>
      </c>
      <c r="K130" s="1" t="s">
        <v>16</v>
      </c>
      <c r="L130" s="1">
        <v>5</v>
      </c>
      <c r="M130" s="1">
        <v>1</v>
      </c>
      <c r="N130" s="1" t="s">
        <v>17</v>
      </c>
      <c r="O130" s="1">
        <v>2</v>
      </c>
      <c r="P130" s="1">
        <v>1</v>
      </c>
      <c r="Q130" s="1">
        <v>1</v>
      </c>
      <c r="S130" s="3">
        <v>322075</v>
      </c>
    </row>
    <row r="131" spans="1:20" ht="18" hidden="1" customHeight="1" x14ac:dyDescent="0.45">
      <c r="A131" s="1">
        <v>130</v>
      </c>
      <c r="C131" s="1" t="s">
        <v>176</v>
      </c>
      <c r="D131" s="1" t="s">
        <v>28</v>
      </c>
      <c r="E131" s="1" t="s">
        <v>156</v>
      </c>
      <c r="F131" s="1">
        <f>SUM(H131:P131)</f>
        <v>18</v>
      </c>
      <c r="G131" s="1"/>
      <c r="H131" s="1" t="s">
        <v>15</v>
      </c>
      <c r="I131" s="1">
        <v>8</v>
      </c>
      <c r="J131" s="1">
        <v>2</v>
      </c>
      <c r="K131" s="1" t="s">
        <v>16</v>
      </c>
      <c r="L131" s="1">
        <v>1</v>
      </c>
      <c r="M131" s="1">
        <v>4</v>
      </c>
      <c r="N131" s="1" t="s">
        <v>17</v>
      </c>
      <c r="O131" s="1">
        <v>1</v>
      </c>
      <c r="P131" s="1">
        <v>2</v>
      </c>
      <c r="T131" s="3">
        <v>12222112</v>
      </c>
    </row>
    <row r="132" spans="1:20" ht="18" hidden="1" customHeight="1" x14ac:dyDescent="0.45">
      <c r="A132" s="1">
        <v>131</v>
      </c>
      <c r="C132" s="1" t="s">
        <v>177</v>
      </c>
      <c r="D132" s="1" t="s">
        <v>28</v>
      </c>
      <c r="E132" s="1" t="s">
        <v>158</v>
      </c>
      <c r="F132" s="1">
        <f>SUM(H132:P132)</f>
        <v>17</v>
      </c>
      <c r="G132" s="1"/>
      <c r="H132" s="1" t="s">
        <v>15</v>
      </c>
      <c r="I132" s="1">
        <v>4</v>
      </c>
      <c r="J132" s="1">
        <v>1</v>
      </c>
      <c r="K132" s="1" t="s">
        <v>16</v>
      </c>
      <c r="L132" s="1">
        <v>3</v>
      </c>
      <c r="M132" s="1">
        <v>1</v>
      </c>
      <c r="N132" s="1" t="s">
        <v>17</v>
      </c>
      <c r="O132" s="1">
        <v>6</v>
      </c>
      <c r="P132" s="1">
        <v>2</v>
      </c>
      <c r="S132" s="3">
        <v>828640</v>
      </c>
    </row>
    <row r="133" spans="1:20" ht="18" hidden="1" customHeight="1" x14ac:dyDescent="0.45">
      <c r="A133" s="1">
        <v>132</v>
      </c>
      <c r="C133" s="1" t="s">
        <v>178</v>
      </c>
      <c r="D133" s="1" t="s">
        <v>28</v>
      </c>
      <c r="E133" s="1" t="s">
        <v>160</v>
      </c>
      <c r="F133" s="1">
        <f>SUM(H133:P133)</f>
        <v>19</v>
      </c>
      <c r="G133" s="1">
        <f>COUNTIF(I133:P133,1)</f>
        <v>1</v>
      </c>
      <c r="H133" s="1" t="s">
        <v>15</v>
      </c>
      <c r="I133" s="1">
        <v>3</v>
      </c>
      <c r="J133" s="1">
        <v>5</v>
      </c>
      <c r="K133" s="1" t="s">
        <v>16</v>
      </c>
      <c r="L133" s="1">
        <v>2</v>
      </c>
      <c r="M133" s="1">
        <v>1</v>
      </c>
      <c r="N133" s="1" t="s">
        <v>17</v>
      </c>
      <c r="O133" s="1">
        <v>2</v>
      </c>
      <c r="P133" s="1">
        <v>6</v>
      </c>
      <c r="S133" s="3">
        <v>868760</v>
      </c>
    </row>
    <row r="134" spans="1:20" ht="18" hidden="1" customHeight="1" x14ac:dyDescent="0.45">
      <c r="A134" s="1">
        <v>133</v>
      </c>
      <c r="C134" s="1" t="s">
        <v>179</v>
      </c>
      <c r="D134" s="1" t="s">
        <v>59</v>
      </c>
      <c r="E134" s="1" t="s">
        <v>19</v>
      </c>
      <c r="F134" s="1">
        <f>SUM(H134:P134)</f>
        <v>24</v>
      </c>
      <c r="G134" s="1">
        <v>1</v>
      </c>
      <c r="H134" s="1" t="s">
        <v>15</v>
      </c>
      <c r="I134" s="1">
        <v>2</v>
      </c>
      <c r="J134" s="1">
        <v>3</v>
      </c>
      <c r="K134" s="1" t="s">
        <v>16</v>
      </c>
      <c r="L134" s="1">
        <v>3</v>
      </c>
      <c r="M134" s="1">
        <v>4</v>
      </c>
      <c r="N134" s="1" t="s">
        <v>17</v>
      </c>
      <c r="O134" s="1">
        <v>3</v>
      </c>
      <c r="P134" s="1">
        <v>9</v>
      </c>
      <c r="S134" s="3">
        <v>4347640</v>
      </c>
    </row>
    <row r="135" spans="1:20" ht="18" hidden="1" customHeight="1" x14ac:dyDescent="0.45">
      <c r="A135" s="1">
        <v>134</v>
      </c>
      <c r="C135" s="1" t="s">
        <v>180</v>
      </c>
      <c r="D135" s="1" t="s">
        <v>59</v>
      </c>
      <c r="E135" s="1" t="s">
        <v>156</v>
      </c>
      <c r="F135" s="1">
        <f>SUM(H135:P135)</f>
        <v>22</v>
      </c>
      <c r="G135" s="1"/>
      <c r="H135" s="1" t="s">
        <v>15</v>
      </c>
      <c r="I135" s="1">
        <v>2</v>
      </c>
      <c r="J135" s="1">
        <v>9</v>
      </c>
      <c r="K135" s="1" t="s">
        <v>16</v>
      </c>
      <c r="L135" s="1">
        <v>1</v>
      </c>
      <c r="M135" s="1">
        <v>2</v>
      </c>
      <c r="N135" s="1" t="s">
        <v>17</v>
      </c>
      <c r="O135" s="1">
        <v>6</v>
      </c>
      <c r="P135" s="1">
        <v>2</v>
      </c>
      <c r="Q135" s="1">
        <v>1</v>
      </c>
      <c r="S135" s="3">
        <v>629215</v>
      </c>
    </row>
    <row r="136" spans="1:20" ht="18" hidden="1" customHeight="1" x14ac:dyDescent="0.45">
      <c r="A136" s="1">
        <v>135</v>
      </c>
      <c r="C136" s="1" t="s">
        <v>181</v>
      </c>
      <c r="D136" s="1" t="s">
        <v>59</v>
      </c>
      <c r="E136" s="1" t="s">
        <v>158</v>
      </c>
      <c r="F136" s="1">
        <f>SUM(H136:P136)</f>
        <v>28</v>
      </c>
      <c r="G136" s="1"/>
      <c r="H136" s="1" t="s">
        <v>15</v>
      </c>
      <c r="I136" s="1">
        <v>10</v>
      </c>
      <c r="J136" s="1">
        <v>3</v>
      </c>
      <c r="K136" s="1" t="s">
        <v>16</v>
      </c>
      <c r="L136" s="1">
        <v>1</v>
      </c>
      <c r="M136" s="1">
        <v>7</v>
      </c>
      <c r="N136" s="1" t="s">
        <v>17</v>
      </c>
      <c r="O136" s="1">
        <v>5</v>
      </c>
      <c r="P136" s="1">
        <v>2</v>
      </c>
      <c r="T136" s="3">
        <v>11386011</v>
      </c>
    </row>
    <row r="137" spans="1:20" ht="18" hidden="1" customHeight="1" x14ac:dyDescent="0.45">
      <c r="A137" s="1">
        <v>259</v>
      </c>
      <c r="C137" s="1" t="s">
        <v>323</v>
      </c>
      <c r="D137" s="1" t="s">
        <v>28</v>
      </c>
      <c r="E137" s="1" t="s">
        <v>79</v>
      </c>
      <c r="F137" s="1">
        <f>SUM(H137:P137)</f>
        <v>12</v>
      </c>
      <c r="G137" s="1"/>
      <c r="H137" s="1" t="s">
        <v>15</v>
      </c>
      <c r="I137" s="1">
        <v>2</v>
      </c>
      <c r="J137" s="1">
        <v>1</v>
      </c>
      <c r="K137" s="1" t="s">
        <v>16</v>
      </c>
      <c r="L137" s="1">
        <v>2</v>
      </c>
      <c r="M137" s="1">
        <v>3</v>
      </c>
      <c r="N137" s="1" t="s">
        <v>17</v>
      </c>
      <c r="O137" s="1">
        <v>1</v>
      </c>
      <c r="P137" s="1">
        <v>3</v>
      </c>
      <c r="S137" s="3">
        <v>70575</v>
      </c>
    </row>
    <row r="138" spans="1:20" ht="18" customHeight="1" x14ac:dyDescent="0.45">
      <c r="A138" s="1">
        <v>137</v>
      </c>
      <c r="C138" s="1" t="s">
        <v>183</v>
      </c>
      <c r="D138" s="1" t="s">
        <v>25</v>
      </c>
      <c r="E138" s="1" t="s">
        <v>184</v>
      </c>
      <c r="F138" s="1">
        <f>SUM(H138:P138)</f>
        <v>22</v>
      </c>
      <c r="G138" s="1"/>
      <c r="H138" s="1" t="s">
        <v>15</v>
      </c>
      <c r="I138" s="1">
        <v>1</v>
      </c>
      <c r="J138" s="1">
        <v>2</v>
      </c>
      <c r="K138" s="1" t="s">
        <v>16</v>
      </c>
      <c r="L138" s="1">
        <v>3</v>
      </c>
      <c r="M138" s="1">
        <v>7</v>
      </c>
      <c r="N138" s="1" t="s">
        <v>17</v>
      </c>
      <c r="O138" s="1">
        <v>2</v>
      </c>
      <c r="P138" s="1">
        <v>7</v>
      </c>
      <c r="S138" s="2">
        <v>4211745</v>
      </c>
      <c r="T138" s="2"/>
    </row>
    <row r="139" spans="1:20" ht="18" customHeight="1" x14ac:dyDescent="0.45">
      <c r="A139" s="1">
        <v>138</v>
      </c>
      <c r="C139" s="1" t="s">
        <v>185</v>
      </c>
      <c r="D139" s="1" t="s">
        <v>25</v>
      </c>
      <c r="E139" s="1" t="s">
        <v>38</v>
      </c>
      <c r="F139" s="1">
        <f>SUM(H139:P139)</f>
        <v>19</v>
      </c>
      <c r="G139" s="1"/>
      <c r="H139" s="1" t="s">
        <v>15</v>
      </c>
      <c r="I139" s="1">
        <v>4</v>
      </c>
      <c r="J139" s="1">
        <v>2</v>
      </c>
      <c r="K139" s="1" t="s">
        <v>16</v>
      </c>
      <c r="L139" s="1">
        <v>2</v>
      </c>
      <c r="M139" s="1">
        <v>6</v>
      </c>
      <c r="N139" s="1" t="s">
        <v>17</v>
      </c>
      <c r="O139" s="1">
        <v>4</v>
      </c>
      <c r="P139" s="1">
        <v>1</v>
      </c>
      <c r="S139" s="2">
        <v>3103290</v>
      </c>
      <c r="T139" s="2"/>
    </row>
    <row r="140" spans="1:20" ht="18" customHeight="1" x14ac:dyDescent="0.45">
      <c r="A140" s="1">
        <v>139</v>
      </c>
      <c r="C140" s="1" t="s">
        <v>186</v>
      </c>
      <c r="D140" s="1" t="s">
        <v>25</v>
      </c>
      <c r="E140" s="1" t="s">
        <v>187</v>
      </c>
      <c r="F140" s="1">
        <f>SUM(H140:P140)</f>
        <v>18</v>
      </c>
      <c r="G140" s="1">
        <f>COUNTIF(I140:P140,1)</f>
        <v>2</v>
      </c>
      <c r="H140" s="1" t="s">
        <v>15</v>
      </c>
      <c r="I140" s="1">
        <v>2</v>
      </c>
      <c r="J140" s="1">
        <v>1</v>
      </c>
      <c r="K140" s="1" t="s">
        <v>188</v>
      </c>
      <c r="L140" s="1">
        <v>5</v>
      </c>
      <c r="M140" s="1">
        <v>1</v>
      </c>
      <c r="N140" s="1" t="s">
        <v>17</v>
      </c>
      <c r="O140" s="1">
        <v>4</v>
      </c>
      <c r="P140" s="1">
        <v>5</v>
      </c>
      <c r="S140" s="2">
        <v>702800</v>
      </c>
      <c r="T140" s="2"/>
    </row>
    <row r="141" spans="1:20" ht="18" customHeight="1" x14ac:dyDescent="0.45">
      <c r="A141" s="1">
        <v>140</v>
      </c>
      <c r="C141" s="1" t="s">
        <v>186</v>
      </c>
      <c r="D141" s="1" t="s">
        <v>25</v>
      </c>
      <c r="E141" s="1" t="s">
        <v>187</v>
      </c>
      <c r="F141" s="1">
        <f>SUM(H141:P141)</f>
        <v>20</v>
      </c>
      <c r="G141" s="1">
        <f>COUNTIF(I141:P141,1)</f>
        <v>1</v>
      </c>
      <c r="H141" s="1" t="s">
        <v>15</v>
      </c>
      <c r="I141" s="1">
        <v>2</v>
      </c>
      <c r="J141" s="1">
        <v>1</v>
      </c>
      <c r="K141" s="1" t="s">
        <v>188</v>
      </c>
      <c r="L141" s="1">
        <v>5</v>
      </c>
      <c r="M141" s="1">
        <v>3</v>
      </c>
      <c r="N141" s="1" t="s">
        <v>17</v>
      </c>
      <c r="O141" s="1">
        <v>4</v>
      </c>
      <c r="P141" s="1">
        <v>5</v>
      </c>
      <c r="S141" s="2">
        <v>2108330</v>
      </c>
      <c r="T141" s="2"/>
    </row>
    <row r="142" spans="1:20" ht="18" hidden="1" customHeight="1" x14ac:dyDescent="0.45">
      <c r="A142" s="1">
        <v>136</v>
      </c>
      <c r="C142" s="1" t="s">
        <v>182</v>
      </c>
      <c r="D142" s="1" t="s">
        <v>59</v>
      </c>
      <c r="E142" s="1" t="s">
        <v>160</v>
      </c>
      <c r="F142" s="1">
        <f>SUM(H142:P142)</f>
        <v>10</v>
      </c>
      <c r="G142" s="1"/>
      <c r="H142" s="1" t="s">
        <v>15</v>
      </c>
      <c r="I142" s="1">
        <v>1</v>
      </c>
      <c r="J142" s="1">
        <v>2</v>
      </c>
      <c r="K142" s="1" t="s">
        <v>16</v>
      </c>
      <c r="L142" s="1">
        <v>3</v>
      </c>
      <c r="M142" s="1">
        <v>1</v>
      </c>
      <c r="N142" s="1" t="s">
        <v>17</v>
      </c>
      <c r="O142" s="1">
        <v>2</v>
      </c>
      <c r="P142" s="1">
        <v>1</v>
      </c>
      <c r="S142" s="3">
        <v>71750</v>
      </c>
    </row>
    <row r="143" spans="1:20" ht="18" hidden="1" customHeight="1" x14ac:dyDescent="0.45">
      <c r="A143" s="1">
        <v>142</v>
      </c>
      <c r="C143" s="1" t="s">
        <v>189</v>
      </c>
      <c r="D143" s="1" t="s">
        <v>33</v>
      </c>
      <c r="E143" s="1" t="s">
        <v>14</v>
      </c>
      <c r="F143" s="1">
        <f>SUM(H143:P143)</f>
        <v>14</v>
      </c>
      <c r="G143" s="1"/>
      <c r="H143" s="1" t="s">
        <v>35</v>
      </c>
      <c r="I143" s="1">
        <v>3</v>
      </c>
      <c r="J143" s="1">
        <v>1</v>
      </c>
      <c r="K143" s="1" t="s">
        <v>36</v>
      </c>
      <c r="L143" s="1">
        <v>4</v>
      </c>
      <c r="M143" s="1">
        <v>3</v>
      </c>
      <c r="N143" s="1" t="s">
        <v>15</v>
      </c>
      <c r="O143" s="1">
        <v>1</v>
      </c>
      <c r="P143" s="1">
        <v>2</v>
      </c>
      <c r="S143" s="3">
        <v>125385</v>
      </c>
    </row>
    <row r="144" spans="1:20" ht="18" customHeight="1" x14ac:dyDescent="0.45">
      <c r="A144" s="1">
        <v>307</v>
      </c>
      <c r="C144" s="1" t="s">
        <v>378</v>
      </c>
      <c r="D144" s="1" t="s">
        <v>25</v>
      </c>
      <c r="E144" s="1" t="s">
        <v>34</v>
      </c>
      <c r="F144" s="1">
        <f>SUM(H144:P144)</f>
        <v>16</v>
      </c>
      <c r="G144" s="1">
        <f>COUNTIF(I144:P144,1)</f>
        <v>2</v>
      </c>
      <c r="H144" s="1" t="s">
        <v>15</v>
      </c>
      <c r="I144" s="1">
        <v>1</v>
      </c>
      <c r="J144" s="1">
        <v>5</v>
      </c>
      <c r="K144" s="1" t="s">
        <v>16</v>
      </c>
      <c r="L144" s="1">
        <v>2</v>
      </c>
      <c r="M144" s="1">
        <v>1</v>
      </c>
      <c r="N144" s="1" t="s">
        <v>17</v>
      </c>
      <c r="O144" s="1">
        <v>2</v>
      </c>
      <c r="P144" s="1">
        <v>5</v>
      </c>
      <c r="S144" s="2">
        <v>454640</v>
      </c>
      <c r="T144" s="2"/>
    </row>
    <row r="145" spans="1:20" ht="18" hidden="1" customHeight="1" x14ac:dyDescent="0.45">
      <c r="A145" s="1">
        <v>144</v>
      </c>
      <c r="C145" s="1" t="s">
        <v>192</v>
      </c>
      <c r="D145" s="1" t="s">
        <v>33</v>
      </c>
      <c r="E145" s="1" t="s">
        <v>119</v>
      </c>
      <c r="F145" s="1">
        <f>SUM(H145:P145)</f>
        <v>33</v>
      </c>
      <c r="G145" s="1"/>
      <c r="H145" s="1" t="s">
        <v>15</v>
      </c>
      <c r="I145" s="1">
        <v>1</v>
      </c>
      <c r="J145" s="1">
        <v>9</v>
      </c>
      <c r="K145" s="1" t="s">
        <v>16</v>
      </c>
      <c r="L145" s="1">
        <v>3</v>
      </c>
      <c r="M145" s="1">
        <v>5</v>
      </c>
      <c r="N145" s="1" t="s">
        <v>17</v>
      </c>
      <c r="O145" s="1">
        <v>6</v>
      </c>
      <c r="P145" s="1">
        <v>9</v>
      </c>
      <c r="S145" s="3">
        <v>11748925</v>
      </c>
    </row>
    <row r="146" spans="1:20" ht="18" hidden="1" customHeight="1" x14ac:dyDescent="0.45">
      <c r="A146" s="1">
        <v>188</v>
      </c>
      <c r="C146" s="1" t="s">
        <v>239</v>
      </c>
      <c r="D146" s="1" t="s">
        <v>59</v>
      </c>
      <c r="E146" s="1" t="s">
        <v>26</v>
      </c>
      <c r="F146" s="1">
        <f>SUM(H146:P146)</f>
        <v>13</v>
      </c>
      <c r="G146" s="1"/>
      <c r="H146" s="1" t="s">
        <v>15</v>
      </c>
      <c r="I146" s="1">
        <v>2</v>
      </c>
      <c r="J146" s="1">
        <v>3</v>
      </c>
      <c r="K146" s="1" t="s">
        <v>16</v>
      </c>
      <c r="L146" s="1">
        <v>1</v>
      </c>
      <c r="M146" s="1">
        <v>2</v>
      </c>
      <c r="N146" s="1" t="s">
        <v>17</v>
      </c>
      <c r="O146" s="1">
        <v>2</v>
      </c>
      <c r="P146" s="1">
        <v>3</v>
      </c>
      <c r="S146" s="3">
        <v>81485</v>
      </c>
    </row>
    <row r="147" spans="1:20" ht="18" hidden="1" customHeight="1" x14ac:dyDescent="0.45">
      <c r="A147" s="1">
        <v>146</v>
      </c>
      <c r="C147" s="1" t="s">
        <v>194</v>
      </c>
      <c r="D147" s="1" t="s">
        <v>33</v>
      </c>
      <c r="E147" s="1" t="s">
        <v>124</v>
      </c>
      <c r="F147" s="1">
        <f>SUM(H147:P147)</f>
        <v>21</v>
      </c>
      <c r="G147" s="1">
        <f>COUNTIF(I147:P147,1)</f>
        <v>3</v>
      </c>
      <c r="H147" s="1" t="s">
        <v>36</v>
      </c>
      <c r="I147" s="1">
        <v>1</v>
      </c>
      <c r="J147" s="1">
        <v>4</v>
      </c>
      <c r="K147" s="1" t="s">
        <v>15</v>
      </c>
      <c r="L147" s="1">
        <v>1</v>
      </c>
      <c r="M147" s="1">
        <v>9</v>
      </c>
      <c r="N147" s="1" t="s">
        <v>16</v>
      </c>
      <c r="O147" s="1">
        <v>1</v>
      </c>
      <c r="P147" s="1">
        <v>5</v>
      </c>
      <c r="S147" s="3">
        <v>211730</v>
      </c>
    </row>
    <row r="148" spans="1:20" ht="18" hidden="1" customHeight="1" x14ac:dyDescent="0.45">
      <c r="A148" s="1">
        <v>147</v>
      </c>
      <c r="C148" s="1" t="s">
        <v>195</v>
      </c>
      <c r="D148" s="1" t="s">
        <v>33</v>
      </c>
      <c r="E148" s="1" t="s">
        <v>31</v>
      </c>
      <c r="F148" s="1">
        <f>SUM(H148:P148)</f>
        <v>14</v>
      </c>
      <c r="G148" s="1"/>
      <c r="H148" s="1" t="s">
        <v>146</v>
      </c>
      <c r="I148" s="1">
        <v>2</v>
      </c>
      <c r="J148" s="1">
        <v>3</v>
      </c>
      <c r="K148" s="1" t="s">
        <v>147</v>
      </c>
      <c r="L148" s="1">
        <v>1</v>
      </c>
      <c r="M148" s="1">
        <v>3</v>
      </c>
      <c r="N148" s="1" t="s">
        <v>35</v>
      </c>
      <c r="O148" s="1">
        <v>3</v>
      </c>
      <c r="P148" s="1">
        <v>2</v>
      </c>
      <c r="S148" s="3">
        <v>182035</v>
      </c>
    </row>
    <row r="149" spans="1:20" ht="18" hidden="1" customHeight="1" x14ac:dyDescent="0.45">
      <c r="A149" s="1">
        <v>148</v>
      </c>
      <c r="C149" s="1" t="s">
        <v>196</v>
      </c>
      <c r="D149" s="1" t="s">
        <v>59</v>
      </c>
      <c r="E149" s="1" t="s">
        <v>197</v>
      </c>
      <c r="F149" s="1">
        <f>SUM(H149:P149)</f>
        <v>16</v>
      </c>
      <c r="G149" s="1"/>
      <c r="H149" s="1" t="s">
        <v>15</v>
      </c>
      <c r="I149" s="1">
        <v>2</v>
      </c>
      <c r="J149" s="1">
        <v>4</v>
      </c>
      <c r="K149" s="1" t="s">
        <v>16</v>
      </c>
      <c r="L149" s="1">
        <v>3</v>
      </c>
      <c r="M149" s="1">
        <v>1</v>
      </c>
      <c r="N149" s="1" t="s">
        <v>17</v>
      </c>
      <c r="O149" s="1">
        <v>4</v>
      </c>
      <c r="P149" s="1">
        <v>2</v>
      </c>
      <c r="S149" s="3">
        <v>3051930</v>
      </c>
    </row>
    <row r="150" spans="1:20" ht="18" hidden="1" customHeight="1" x14ac:dyDescent="0.45">
      <c r="A150" s="1">
        <v>149</v>
      </c>
      <c r="C150" s="1" t="s">
        <v>198</v>
      </c>
      <c r="D150" s="1" t="s">
        <v>59</v>
      </c>
      <c r="E150" s="1" t="s">
        <v>184</v>
      </c>
      <c r="F150" s="1">
        <f>SUM(H150:P150)</f>
        <v>12</v>
      </c>
      <c r="G150" s="1"/>
      <c r="H150" s="1" t="s">
        <v>15</v>
      </c>
      <c r="I150" s="1">
        <v>1</v>
      </c>
      <c r="J150" s="1">
        <v>2</v>
      </c>
      <c r="K150" s="1" t="s">
        <v>16</v>
      </c>
      <c r="L150" s="1">
        <v>1</v>
      </c>
      <c r="M150" s="1">
        <v>5</v>
      </c>
      <c r="N150" s="1" t="s">
        <v>17</v>
      </c>
      <c r="O150" s="1">
        <v>1</v>
      </c>
      <c r="P150" s="1">
        <v>2</v>
      </c>
      <c r="S150" s="3">
        <v>43675</v>
      </c>
    </row>
    <row r="151" spans="1:20" ht="18" hidden="1" customHeight="1" x14ac:dyDescent="0.45">
      <c r="A151" s="1">
        <v>150</v>
      </c>
      <c r="C151" s="1" t="s">
        <v>199</v>
      </c>
      <c r="D151" s="1" t="s">
        <v>59</v>
      </c>
      <c r="E151" s="1" t="s">
        <v>38</v>
      </c>
      <c r="F151" s="1">
        <f>SUM(H151:P151)</f>
        <v>16</v>
      </c>
      <c r="G151" s="1"/>
      <c r="H151" s="1" t="s">
        <v>15</v>
      </c>
      <c r="I151" s="1">
        <v>4</v>
      </c>
      <c r="J151" s="1">
        <v>1</v>
      </c>
      <c r="K151" s="1" t="s">
        <v>16</v>
      </c>
      <c r="L151" s="1">
        <v>5</v>
      </c>
      <c r="M151" s="1">
        <v>2</v>
      </c>
      <c r="N151" s="1" t="s">
        <v>17</v>
      </c>
      <c r="O151" s="1">
        <v>1</v>
      </c>
      <c r="P151" s="1">
        <v>3</v>
      </c>
      <c r="S151" s="3">
        <v>452750</v>
      </c>
    </row>
    <row r="152" spans="1:20" ht="18" hidden="1" customHeight="1" x14ac:dyDescent="0.45">
      <c r="A152" s="1">
        <v>151</v>
      </c>
      <c r="C152" s="1" t="s">
        <v>200</v>
      </c>
      <c r="D152" s="1" t="s">
        <v>59</v>
      </c>
      <c r="E152" s="1" t="s">
        <v>187</v>
      </c>
      <c r="F152" s="1">
        <f>SUM(H152:P152)</f>
        <v>22</v>
      </c>
      <c r="G152" s="1">
        <f>COUNTIF(I152:P152,1)</f>
        <v>2</v>
      </c>
      <c r="H152" s="1" t="s">
        <v>15</v>
      </c>
      <c r="I152" s="1">
        <v>1</v>
      </c>
      <c r="J152" s="1">
        <v>2</v>
      </c>
      <c r="K152" s="1" t="s">
        <v>16</v>
      </c>
      <c r="L152" s="1">
        <v>1</v>
      </c>
      <c r="M152" s="1">
        <v>7</v>
      </c>
      <c r="N152" s="1" t="s">
        <v>17</v>
      </c>
      <c r="O152" s="1">
        <v>5</v>
      </c>
      <c r="P152" s="1">
        <v>6</v>
      </c>
      <c r="S152" s="3">
        <v>222555</v>
      </c>
    </row>
    <row r="153" spans="1:20" ht="18" hidden="1" customHeight="1" x14ac:dyDescent="0.45">
      <c r="A153" s="1">
        <v>152</v>
      </c>
      <c r="C153" s="1" t="s">
        <v>201</v>
      </c>
      <c r="D153" s="1" t="s">
        <v>59</v>
      </c>
      <c r="E153" s="1" t="s">
        <v>190</v>
      </c>
      <c r="F153" s="1">
        <f>SUM(H153:P153)</f>
        <v>23</v>
      </c>
      <c r="G153" s="1">
        <f>COUNTIF(I153:P153,1)</f>
        <v>1</v>
      </c>
      <c r="H153" s="1" t="s">
        <v>15</v>
      </c>
      <c r="I153" s="1">
        <v>7</v>
      </c>
      <c r="J153" s="1">
        <v>3</v>
      </c>
      <c r="K153" s="1" t="s">
        <v>16</v>
      </c>
      <c r="L153" s="1">
        <v>1</v>
      </c>
      <c r="M153" s="1">
        <v>4</v>
      </c>
      <c r="N153" s="1" t="s">
        <v>17</v>
      </c>
      <c r="O153" s="1">
        <v>2</v>
      </c>
      <c r="P153" s="1">
        <v>6</v>
      </c>
      <c r="Q153" s="1">
        <v>1</v>
      </c>
      <c r="S153" s="3">
        <v>56363510</v>
      </c>
    </row>
    <row r="154" spans="1:20" ht="18" hidden="1" customHeight="1" x14ac:dyDescent="0.45">
      <c r="A154" s="1">
        <v>153</v>
      </c>
      <c r="C154" s="1" t="s">
        <v>202</v>
      </c>
      <c r="D154" s="1" t="s">
        <v>28</v>
      </c>
      <c r="E154" s="1" t="s">
        <v>197</v>
      </c>
      <c r="F154" s="1">
        <f>SUM(H154:P154)</f>
        <v>23</v>
      </c>
      <c r="G154" s="1">
        <f>COUNTIF(I154:P154,1)</f>
        <v>2</v>
      </c>
      <c r="H154" s="1" t="s">
        <v>15</v>
      </c>
      <c r="I154" s="1">
        <v>2</v>
      </c>
      <c r="J154" s="1">
        <v>9</v>
      </c>
      <c r="K154" s="1" t="s">
        <v>16</v>
      </c>
      <c r="L154" s="1">
        <v>1</v>
      </c>
      <c r="M154" s="1">
        <v>3</v>
      </c>
      <c r="N154" s="1" t="s">
        <v>17</v>
      </c>
      <c r="O154" s="1">
        <v>1</v>
      </c>
      <c r="P154" s="1">
        <v>7</v>
      </c>
      <c r="S154" s="3">
        <v>854580</v>
      </c>
    </row>
    <row r="155" spans="1:20" ht="18" hidden="1" customHeight="1" x14ac:dyDescent="0.45">
      <c r="A155" s="1">
        <v>154</v>
      </c>
      <c r="C155" s="1" t="s">
        <v>203</v>
      </c>
      <c r="D155" s="1" t="s">
        <v>28</v>
      </c>
      <c r="E155" s="1" t="s">
        <v>184</v>
      </c>
      <c r="F155" s="1">
        <f>SUM(H155:P155)</f>
        <v>17</v>
      </c>
      <c r="G155" s="1">
        <f>COUNTIF(I155:P155,1)</f>
        <v>2</v>
      </c>
      <c r="H155" s="1" t="s">
        <v>15</v>
      </c>
      <c r="I155" s="1">
        <v>2</v>
      </c>
      <c r="J155" s="1">
        <v>7</v>
      </c>
      <c r="K155" s="1" t="s">
        <v>16</v>
      </c>
      <c r="L155" s="1">
        <v>1</v>
      </c>
      <c r="M155" s="1">
        <v>2</v>
      </c>
      <c r="N155" s="1" t="s">
        <v>17</v>
      </c>
      <c r="O155" s="1">
        <v>1</v>
      </c>
      <c r="P155" s="1">
        <v>4</v>
      </c>
      <c r="S155" s="3">
        <v>217300</v>
      </c>
    </row>
    <row r="156" spans="1:20" ht="18" hidden="1" customHeight="1" x14ac:dyDescent="0.45">
      <c r="A156" s="1">
        <v>176</v>
      </c>
      <c r="C156" s="1" t="s">
        <v>227</v>
      </c>
      <c r="D156" s="1" t="s">
        <v>28</v>
      </c>
      <c r="E156" s="1" t="s">
        <v>213</v>
      </c>
      <c r="F156" s="1">
        <f>SUM(H156:P156)</f>
        <v>12</v>
      </c>
      <c r="G156" s="1"/>
      <c r="H156" s="1" t="s">
        <v>15</v>
      </c>
      <c r="I156" s="1">
        <v>2</v>
      </c>
      <c r="J156" s="1">
        <v>1</v>
      </c>
      <c r="K156" s="1" t="s">
        <v>16</v>
      </c>
      <c r="L156" s="1">
        <v>3</v>
      </c>
      <c r="M156" s="1">
        <v>1</v>
      </c>
      <c r="N156" s="1" t="s">
        <v>17</v>
      </c>
      <c r="O156" s="1">
        <v>2</v>
      </c>
      <c r="P156" s="1">
        <v>3</v>
      </c>
      <c r="S156" s="3">
        <v>112930</v>
      </c>
    </row>
    <row r="157" spans="1:20" ht="18" hidden="1" customHeight="1" x14ac:dyDescent="0.45">
      <c r="A157" s="1">
        <v>12</v>
      </c>
      <c r="B157" s="19"/>
      <c r="C157" s="1" t="s">
        <v>406</v>
      </c>
      <c r="D157" s="1" t="s">
        <v>59</v>
      </c>
      <c r="E157" s="1" t="s">
        <v>99</v>
      </c>
      <c r="F157" s="1">
        <f>SUM(H157:P157)</f>
        <v>19</v>
      </c>
      <c r="G157" s="1">
        <f>COUNTIF(I157:P157,1)</f>
        <v>3</v>
      </c>
      <c r="H157" s="1" t="s">
        <v>15</v>
      </c>
      <c r="I157" s="1">
        <v>1</v>
      </c>
      <c r="J157" s="1">
        <v>5</v>
      </c>
      <c r="K157" s="1" t="s">
        <v>16</v>
      </c>
      <c r="L157" s="1">
        <v>2</v>
      </c>
      <c r="M157" s="1">
        <v>1</v>
      </c>
      <c r="N157" s="1" t="s">
        <v>17</v>
      </c>
      <c r="O157" s="1">
        <v>1</v>
      </c>
      <c r="P157" s="1">
        <v>9</v>
      </c>
      <c r="R157" s="1" t="s">
        <v>407</v>
      </c>
      <c r="S157" s="3">
        <v>533180</v>
      </c>
      <c r="T157" s="1"/>
    </row>
    <row r="158" spans="1:20" ht="18" hidden="1" customHeight="1" x14ac:dyDescent="0.45">
      <c r="A158" s="1">
        <v>157</v>
      </c>
      <c r="C158" s="1" t="s">
        <v>205</v>
      </c>
      <c r="D158" s="1" t="s">
        <v>28</v>
      </c>
      <c r="E158" s="1" t="s">
        <v>190</v>
      </c>
      <c r="F158" s="1">
        <f>SUM(H158:P158)</f>
        <v>18</v>
      </c>
      <c r="G158" s="1">
        <f>COUNTIF(I158:P158,1)</f>
        <v>2</v>
      </c>
      <c r="H158" s="1" t="s">
        <v>15</v>
      </c>
      <c r="I158" s="1">
        <v>3</v>
      </c>
      <c r="J158" s="1">
        <v>1</v>
      </c>
      <c r="K158" s="1" t="s">
        <v>16</v>
      </c>
      <c r="L158" s="1">
        <v>7</v>
      </c>
      <c r="M158" s="1">
        <v>1</v>
      </c>
      <c r="N158" s="1" t="s">
        <v>17</v>
      </c>
      <c r="O158" s="1">
        <v>2</v>
      </c>
      <c r="P158" s="1">
        <v>4</v>
      </c>
      <c r="S158" s="3">
        <v>2392970</v>
      </c>
    </row>
    <row r="159" spans="1:20" ht="18" customHeight="1" x14ac:dyDescent="0.45">
      <c r="A159" s="1">
        <v>158</v>
      </c>
      <c r="C159" s="1" t="s">
        <v>206</v>
      </c>
      <c r="D159" s="1" t="s">
        <v>25</v>
      </c>
      <c r="E159" s="1" t="s">
        <v>207</v>
      </c>
      <c r="F159" s="1">
        <f>SUM(H159:P159)</f>
        <v>20</v>
      </c>
      <c r="G159" s="1"/>
      <c r="H159" s="1" t="s">
        <v>15</v>
      </c>
      <c r="I159" s="1">
        <v>6</v>
      </c>
      <c r="J159" s="1">
        <v>7</v>
      </c>
      <c r="K159" s="1" t="s">
        <v>16</v>
      </c>
      <c r="L159" s="1">
        <v>1</v>
      </c>
      <c r="M159" s="1">
        <v>2</v>
      </c>
      <c r="N159" s="1" t="s">
        <v>17</v>
      </c>
      <c r="O159" s="1">
        <v>1</v>
      </c>
      <c r="P159" s="1">
        <v>3</v>
      </c>
      <c r="S159" s="2">
        <v>1336220</v>
      </c>
      <c r="T159" s="2"/>
    </row>
    <row r="160" spans="1:20" ht="18" customHeight="1" x14ac:dyDescent="0.45">
      <c r="A160" s="1">
        <v>159</v>
      </c>
      <c r="C160" s="1" t="s">
        <v>208</v>
      </c>
      <c r="D160" s="1" t="s">
        <v>25</v>
      </c>
      <c r="E160" s="1" t="s">
        <v>209</v>
      </c>
      <c r="F160" s="1">
        <f>SUM(H160:P160)</f>
        <v>19</v>
      </c>
      <c r="G160" s="1"/>
      <c r="H160" s="1" t="s">
        <v>15</v>
      </c>
      <c r="I160" s="1">
        <v>2</v>
      </c>
      <c r="J160" s="1">
        <v>8</v>
      </c>
      <c r="K160" s="1" t="s">
        <v>16</v>
      </c>
      <c r="L160" s="1">
        <v>2</v>
      </c>
      <c r="M160" s="1">
        <v>1</v>
      </c>
      <c r="N160" s="1" t="s">
        <v>17</v>
      </c>
      <c r="O160" s="1">
        <v>5</v>
      </c>
      <c r="P160" s="1">
        <v>1</v>
      </c>
      <c r="S160" s="2">
        <v>4147450</v>
      </c>
      <c r="T160" s="2"/>
    </row>
    <row r="161" spans="1:20" ht="18" customHeight="1" x14ac:dyDescent="0.45">
      <c r="A161" s="1">
        <v>160</v>
      </c>
      <c r="C161" s="1" t="s">
        <v>210</v>
      </c>
      <c r="D161" s="1" t="s">
        <v>25</v>
      </c>
      <c r="E161" s="1" t="s">
        <v>211</v>
      </c>
      <c r="F161" s="1">
        <f>SUM(H161:P161)</f>
        <v>20</v>
      </c>
      <c r="G161" s="1"/>
      <c r="H161" s="1" t="s">
        <v>15</v>
      </c>
      <c r="I161" s="1">
        <v>4</v>
      </c>
      <c r="J161" s="1">
        <v>7</v>
      </c>
      <c r="K161" s="1" t="s">
        <v>16</v>
      </c>
      <c r="L161" s="1">
        <v>3</v>
      </c>
      <c r="M161" s="1">
        <v>1</v>
      </c>
      <c r="N161" s="1" t="s">
        <v>17</v>
      </c>
      <c r="O161" s="1">
        <v>3</v>
      </c>
      <c r="P161" s="1">
        <v>2</v>
      </c>
      <c r="S161" s="2">
        <v>7476000</v>
      </c>
      <c r="T161" s="2"/>
    </row>
    <row r="162" spans="1:20" ht="18" customHeight="1" x14ac:dyDescent="0.45">
      <c r="A162" s="1">
        <v>161</v>
      </c>
      <c r="C162" s="1" t="s">
        <v>212</v>
      </c>
      <c r="D162" s="1" t="s">
        <v>25</v>
      </c>
      <c r="E162" s="1" t="s">
        <v>213</v>
      </c>
      <c r="F162" s="1">
        <f>SUM(H162:P162)</f>
        <v>22</v>
      </c>
      <c r="G162" s="1">
        <f>COUNTIF(I162:P162,1)</f>
        <v>1</v>
      </c>
      <c r="H162" s="1" t="s">
        <v>15</v>
      </c>
      <c r="I162" s="1">
        <v>3</v>
      </c>
      <c r="J162" s="1">
        <v>6</v>
      </c>
      <c r="K162" s="1" t="s">
        <v>16</v>
      </c>
      <c r="L162" s="1">
        <v>1</v>
      </c>
      <c r="M162" s="1">
        <v>3</v>
      </c>
      <c r="N162" s="1" t="s">
        <v>17</v>
      </c>
      <c r="O162" s="1">
        <v>4</v>
      </c>
      <c r="P162" s="1">
        <v>5</v>
      </c>
      <c r="S162" s="2">
        <v>4352495</v>
      </c>
      <c r="T162" s="2"/>
    </row>
    <row r="163" spans="1:20" ht="18" customHeight="1" x14ac:dyDescent="0.45">
      <c r="A163" s="1">
        <v>162</v>
      </c>
      <c r="C163" s="1" t="s">
        <v>214</v>
      </c>
      <c r="D163" s="1" t="s">
        <v>25</v>
      </c>
      <c r="E163" s="1" t="s">
        <v>215</v>
      </c>
      <c r="F163" s="1">
        <f>SUM(H163:P163)</f>
        <v>18</v>
      </c>
      <c r="G163" s="1">
        <f>COUNTIF(I163:P163,1)</f>
        <v>2</v>
      </c>
      <c r="H163" s="1" t="s">
        <v>15</v>
      </c>
      <c r="I163" s="1">
        <v>2</v>
      </c>
      <c r="J163" s="1">
        <v>1</v>
      </c>
      <c r="K163" s="1" t="s">
        <v>16</v>
      </c>
      <c r="L163" s="1">
        <v>2</v>
      </c>
      <c r="M163" s="1">
        <v>7</v>
      </c>
      <c r="N163" s="1" t="s">
        <v>17</v>
      </c>
      <c r="O163" s="1">
        <v>1</v>
      </c>
      <c r="P163" s="1">
        <v>5</v>
      </c>
      <c r="S163" s="2">
        <v>1433285</v>
      </c>
      <c r="T163" s="2"/>
    </row>
    <row r="164" spans="1:20" ht="18" hidden="1" customHeight="1" x14ac:dyDescent="0.45">
      <c r="A164" s="1">
        <v>163</v>
      </c>
      <c r="C164" s="1" t="s">
        <v>216</v>
      </c>
      <c r="D164" s="1" t="s">
        <v>33</v>
      </c>
      <c r="E164" s="1" t="s">
        <v>153</v>
      </c>
      <c r="F164" s="1">
        <f>SUM(H164:P164)</f>
        <v>18</v>
      </c>
      <c r="G164" s="1">
        <f>COUNTIF(I164:P164,1)</f>
        <v>3</v>
      </c>
      <c r="H164" s="1" t="s">
        <v>15</v>
      </c>
      <c r="I164" s="1">
        <v>1</v>
      </c>
      <c r="J164" s="1">
        <v>7</v>
      </c>
      <c r="K164" s="1" t="s">
        <v>16</v>
      </c>
      <c r="L164" s="1">
        <v>4</v>
      </c>
      <c r="M164" s="1">
        <v>1</v>
      </c>
      <c r="N164" s="1" t="s">
        <v>17</v>
      </c>
      <c r="O164" s="1">
        <v>1</v>
      </c>
      <c r="P164" s="1">
        <v>4</v>
      </c>
      <c r="S164" s="3">
        <v>1027350</v>
      </c>
    </row>
    <row r="165" spans="1:20" ht="18" hidden="1" customHeight="1" x14ac:dyDescent="0.45">
      <c r="A165" s="1">
        <v>164</v>
      </c>
      <c r="C165" s="1" t="s">
        <v>13</v>
      </c>
      <c r="D165" s="1" t="s">
        <v>33</v>
      </c>
      <c r="E165" s="1" t="s">
        <v>19</v>
      </c>
      <c r="F165" s="1">
        <f>SUM(H165:P165)</f>
        <v>12</v>
      </c>
      <c r="G165" s="1">
        <f>COUNTIF(I165:P165,1)</f>
        <v>3</v>
      </c>
      <c r="H165" s="1" t="s">
        <v>15</v>
      </c>
      <c r="I165" s="1">
        <v>2</v>
      </c>
      <c r="J165" s="1">
        <v>1</v>
      </c>
      <c r="K165" s="1" t="s">
        <v>16</v>
      </c>
      <c r="L165" s="1">
        <v>3</v>
      </c>
      <c r="M165" s="1">
        <v>1</v>
      </c>
      <c r="N165" s="1" t="s">
        <v>17</v>
      </c>
      <c r="O165" s="1">
        <v>1</v>
      </c>
      <c r="P165" s="1">
        <v>4</v>
      </c>
      <c r="Q165" s="1">
        <v>1</v>
      </c>
      <c r="S165" s="3">
        <v>127445</v>
      </c>
    </row>
    <row r="166" spans="1:20" ht="18" hidden="1" customHeight="1" x14ac:dyDescent="0.45">
      <c r="A166" s="1">
        <v>165</v>
      </c>
      <c r="C166" s="1" t="s">
        <v>217</v>
      </c>
      <c r="D166" s="1" t="s">
        <v>33</v>
      </c>
      <c r="E166" s="1" t="s">
        <v>156</v>
      </c>
      <c r="F166" s="1">
        <f>SUM(H166:P166)</f>
        <v>25</v>
      </c>
      <c r="G166" s="1"/>
      <c r="H166" s="1" t="s">
        <v>15</v>
      </c>
      <c r="I166" s="1">
        <v>1</v>
      </c>
      <c r="J166" s="1">
        <v>4</v>
      </c>
      <c r="K166" s="1" t="s">
        <v>16</v>
      </c>
      <c r="L166" s="1">
        <v>7</v>
      </c>
      <c r="M166" s="1">
        <v>3</v>
      </c>
      <c r="N166" s="1" t="s">
        <v>17</v>
      </c>
      <c r="O166" s="1">
        <v>9</v>
      </c>
      <c r="P166" s="1">
        <v>1</v>
      </c>
      <c r="T166" s="3">
        <v>15325058</v>
      </c>
    </row>
    <row r="167" spans="1:20" ht="18" hidden="1" customHeight="1" x14ac:dyDescent="0.45">
      <c r="A167" s="1">
        <v>166</v>
      </c>
      <c r="C167" s="1" t="s">
        <v>218</v>
      </c>
      <c r="D167" s="1" t="s">
        <v>33</v>
      </c>
      <c r="E167" s="1" t="s">
        <v>158</v>
      </c>
      <c r="F167" s="1">
        <f>SUM(H167:P167)</f>
        <v>18</v>
      </c>
      <c r="G167" s="1"/>
      <c r="H167" s="1" t="s">
        <v>15</v>
      </c>
      <c r="I167" s="1">
        <v>1</v>
      </c>
      <c r="J167" s="1">
        <v>8</v>
      </c>
      <c r="K167" s="1" t="s">
        <v>16</v>
      </c>
      <c r="L167" s="1">
        <v>1</v>
      </c>
      <c r="M167" s="1">
        <v>3</v>
      </c>
      <c r="N167" s="1" t="s">
        <v>17</v>
      </c>
      <c r="O167" s="1">
        <v>2</v>
      </c>
      <c r="P167" s="1">
        <v>3</v>
      </c>
      <c r="S167" s="3">
        <v>337535</v>
      </c>
    </row>
    <row r="168" spans="1:20" ht="18" hidden="1" customHeight="1" x14ac:dyDescent="0.45">
      <c r="A168" s="1">
        <v>167</v>
      </c>
      <c r="C168" s="1" t="s">
        <v>219</v>
      </c>
      <c r="D168" s="1" t="s">
        <v>33</v>
      </c>
      <c r="E168" s="1" t="s">
        <v>160</v>
      </c>
      <c r="F168" s="1">
        <f>SUM(H168:P168)</f>
        <v>18</v>
      </c>
      <c r="G168" s="1">
        <f>COUNTIF(I168:P168,1)</f>
        <v>2</v>
      </c>
      <c r="H168" s="1" t="s">
        <v>15</v>
      </c>
      <c r="I168" s="1">
        <v>2</v>
      </c>
      <c r="J168" s="1">
        <v>1</v>
      </c>
      <c r="K168" s="1" t="s">
        <v>16</v>
      </c>
      <c r="L168" s="1">
        <v>4</v>
      </c>
      <c r="M168" s="1">
        <v>3</v>
      </c>
      <c r="N168" s="1" t="s">
        <v>17</v>
      </c>
      <c r="O168" s="1">
        <v>1</v>
      </c>
      <c r="P168" s="1">
        <v>7</v>
      </c>
      <c r="S168" s="3">
        <v>2739555</v>
      </c>
    </row>
    <row r="169" spans="1:20" ht="18" hidden="1" customHeight="1" x14ac:dyDescent="0.45">
      <c r="A169" s="1">
        <v>237</v>
      </c>
      <c r="C169" s="1" t="s">
        <v>296</v>
      </c>
      <c r="D169" s="1" t="s">
        <v>59</v>
      </c>
      <c r="E169" s="1" t="s">
        <v>286</v>
      </c>
      <c r="F169" s="1">
        <f>SUM(H169:P169)</f>
        <v>21</v>
      </c>
      <c r="G169" s="1"/>
      <c r="H169" s="1" t="s">
        <v>15</v>
      </c>
      <c r="I169" s="1">
        <v>1</v>
      </c>
      <c r="J169" s="1">
        <v>2</v>
      </c>
      <c r="K169" s="1" t="s">
        <v>16</v>
      </c>
      <c r="L169" s="1">
        <v>1</v>
      </c>
      <c r="M169" s="1">
        <v>2</v>
      </c>
      <c r="N169" s="1" t="s">
        <v>17</v>
      </c>
      <c r="O169" s="1">
        <v>4</v>
      </c>
      <c r="P169" s="1">
        <v>11</v>
      </c>
      <c r="T169" s="3">
        <v>12754406</v>
      </c>
    </row>
    <row r="170" spans="1:20" ht="18" hidden="1" customHeight="1" x14ac:dyDescent="0.45">
      <c r="A170" s="1">
        <v>169</v>
      </c>
      <c r="C170" s="1" t="s">
        <v>221</v>
      </c>
      <c r="D170" s="1" t="s">
        <v>59</v>
      </c>
      <c r="E170" s="1" t="s">
        <v>211</v>
      </c>
      <c r="F170" s="1">
        <f>SUM(H170:P170)</f>
        <v>14</v>
      </c>
      <c r="G170" s="1"/>
      <c r="H170" s="1" t="s">
        <v>15</v>
      </c>
      <c r="I170" s="1">
        <v>1</v>
      </c>
      <c r="J170" s="1">
        <v>3</v>
      </c>
      <c r="K170" s="1" t="s">
        <v>16</v>
      </c>
      <c r="L170" s="1">
        <v>2</v>
      </c>
      <c r="M170" s="1">
        <v>5</v>
      </c>
      <c r="N170" s="1" t="s">
        <v>17</v>
      </c>
      <c r="O170" s="1">
        <v>2</v>
      </c>
      <c r="P170" s="1">
        <v>1</v>
      </c>
      <c r="Q170" s="1">
        <v>1</v>
      </c>
      <c r="S170" s="3">
        <v>954610</v>
      </c>
    </row>
    <row r="171" spans="1:20" ht="18" hidden="1" customHeight="1" x14ac:dyDescent="0.45">
      <c r="A171" s="1">
        <v>239</v>
      </c>
      <c r="C171" s="1" t="s">
        <v>298</v>
      </c>
      <c r="D171" s="1" t="s">
        <v>59</v>
      </c>
      <c r="E171" s="1" t="s">
        <v>23</v>
      </c>
      <c r="F171" s="1">
        <f>SUM(H171:P171)</f>
        <v>32</v>
      </c>
      <c r="G171" s="1"/>
      <c r="H171" s="1" t="s">
        <v>15</v>
      </c>
      <c r="I171" s="1">
        <v>1</v>
      </c>
      <c r="J171" s="1">
        <v>6</v>
      </c>
      <c r="K171" s="1" t="s">
        <v>16</v>
      </c>
      <c r="L171" s="1">
        <v>7</v>
      </c>
      <c r="M171" s="1">
        <v>4</v>
      </c>
      <c r="N171" s="1" t="s">
        <v>17</v>
      </c>
      <c r="O171" s="1">
        <v>3</v>
      </c>
      <c r="P171" s="1">
        <v>11</v>
      </c>
      <c r="Q171" s="1">
        <v>1</v>
      </c>
      <c r="T171" s="3">
        <v>57646904</v>
      </c>
    </row>
    <row r="172" spans="1:20" ht="18" hidden="1" customHeight="1" x14ac:dyDescent="0.45">
      <c r="A172" s="1">
        <v>171</v>
      </c>
      <c r="C172" s="1" t="s">
        <v>223</v>
      </c>
      <c r="D172" s="1" t="s">
        <v>59</v>
      </c>
      <c r="E172" s="1" t="s">
        <v>215</v>
      </c>
      <c r="F172" s="1">
        <f>SUM(H172:P172)</f>
        <v>23</v>
      </c>
      <c r="G172" s="1">
        <f>COUNTIF(I172:P172,1)</f>
        <v>2</v>
      </c>
      <c r="H172" s="1" t="s">
        <v>15</v>
      </c>
      <c r="I172" s="1">
        <v>1</v>
      </c>
      <c r="J172" s="1">
        <v>3</v>
      </c>
      <c r="K172" s="1" t="s">
        <v>16</v>
      </c>
      <c r="L172" s="1">
        <v>8</v>
      </c>
      <c r="M172" s="1">
        <v>3</v>
      </c>
      <c r="N172" s="1" t="s">
        <v>17</v>
      </c>
      <c r="O172" s="1">
        <v>1</v>
      </c>
      <c r="P172" s="1">
        <v>7</v>
      </c>
      <c r="S172" s="3">
        <v>6490655</v>
      </c>
    </row>
    <row r="173" spans="1:20" ht="18" hidden="1" customHeight="1" x14ac:dyDescent="0.45">
      <c r="A173" s="1">
        <v>172</v>
      </c>
      <c r="C173" s="1" t="s">
        <v>224</v>
      </c>
      <c r="D173" s="1" t="s">
        <v>28</v>
      </c>
      <c r="E173" s="1" t="s">
        <v>207</v>
      </c>
      <c r="F173" s="1">
        <f>SUM(H173:P173)</f>
        <v>13</v>
      </c>
      <c r="G173" s="1"/>
      <c r="H173" s="1" t="s">
        <v>15</v>
      </c>
      <c r="I173" s="1">
        <v>4</v>
      </c>
      <c r="J173" s="1">
        <v>2</v>
      </c>
      <c r="K173" s="1" t="s">
        <v>16</v>
      </c>
      <c r="L173" s="1">
        <v>1</v>
      </c>
      <c r="M173" s="1">
        <v>3</v>
      </c>
      <c r="N173" s="1" t="s">
        <v>17</v>
      </c>
      <c r="O173" s="1">
        <v>1</v>
      </c>
      <c r="P173" s="1">
        <v>2</v>
      </c>
      <c r="S173" s="3">
        <v>29850</v>
      </c>
    </row>
    <row r="174" spans="1:20" ht="18" hidden="1" customHeight="1" x14ac:dyDescent="0.45">
      <c r="A174" s="1">
        <v>173</v>
      </c>
      <c r="C174" s="1" t="s">
        <v>225</v>
      </c>
      <c r="D174" s="1" t="s">
        <v>28</v>
      </c>
      <c r="E174" s="1" t="s">
        <v>209</v>
      </c>
      <c r="F174" s="1">
        <f>SUM(H174:P174)</f>
        <v>19</v>
      </c>
      <c r="G174" s="1">
        <f>COUNTIF(I174:P174,1)</f>
        <v>2</v>
      </c>
      <c r="H174" s="1" t="s">
        <v>15</v>
      </c>
      <c r="I174" s="1">
        <v>1</v>
      </c>
      <c r="J174" s="1">
        <v>3</v>
      </c>
      <c r="K174" s="1" t="s">
        <v>16</v>
      </c>
      <c r="L174" s="1">
        <v>4</v>
      </c>
      <c r="M174" s="1">
        <v>3</v>
      </c>
      <c r="N174" s="1" t="s">
        <v>17</v>
      </c>
      <c r="O174" s="1">
        <v>1</v>
      </c>
      <c r="P174" s="1">
        <v>7</v>
      </c>
      <c r="S174" s="3">
        <v>632200</v>
      </c>
    </row>
    <row r="175" spans="1:20" ht="18" hidden="1" customHeight="1" x14ac:dyDescent="0.45">
      <c r="A175" s="1">
        <v>174</v>
      </c>
      <c r="C175" s="1" t="s">
        <v>226</v>
      </c>
      <c r="D175" s="1" t="s">
        <v>28</v>
      </c>
      <c r="E175" s="1" t="s">
        <v>211</v>
      </c>
      <c r="F175" s="1">
        <f>SUM(H175:P175)</f>
        <v>24</v>
      </c>
      <c r="G175" s="1"/>
      <c r="H175" s="1" t="s">
        <v>15</v>
      </c>
      <c r="I175" s="1">
        <v>1</v>
      </c>
      <c r="J175" s="1">
        <v>5</v>
      </c>
      <c r="K175" s="1" t="s">
        <v>16</v>
      </c>
      <c r="L175" s="1">
        <v>2</v>
      </c>
      <c r="M175" s="1">
        <v>4</v>
      </c>
      <c r="N175" s="1" t="s">
        <v>17</v>
      </c>
      <c r="O175" s="1">
        <v>3</v>
      </c>
      <c r="P175" s="1">
        <v>9</v>
      </c>
      <c r="S175" s="3">
        <v>578085</v>
      </c>
    </row>
    <row r="176" spans="1:20" ht="18" hidden="1" customHeight="1" x14ac:dyDescent="0.45">
      <c r="A176" s="1">
        <v>175</v>
      </c>
      <c r="C176" s="1" t="s">
        <v>226</v>
      </c>
      <c r="D176" s="1" t="s">
        <v>33</v>
      </c>
      <c r="E176" s="1" t="s">
        <v>197</v>
      </c>
      <c r="F176" s="1">
        <f>SUM(H176:P176)</f>
        <v>14</v>
      </c>
      <c r="G176" s="1">
        <f>COUNTIF(I176:P176,1)</f>
        <v>3</v>
      </c>
      <c r="H176" s="1" t="s">
        <v>15</v>
      </c>
      <c r="I176" s="1">
        <v>5</v>
      </c>
      <c r="J176" s="1">
        <v>1</v>
      </c>
      <c r="K176" s="1" t="s">
        <v>16</v>
      </c>
      <c r="L176" s="1">
        <v>1</v>
      </c>
      <c r="M176" s="1">
        <v>2</v>
      </c>
      <c r="N176" s="1" t="s">
        <v>17</v>
      </c>
      <c r="O176" s="1">
        <v>1</v>
      </c>
      <c r="P176" s="1">
        <v>4</v>
      </c>
      <c r="S176" s="3">
        <v>200445</v>
      </c>
    </row>
    <row r="177" spans="1:20" ht="18" customHeight="1" x14ac:dyDescent="0.45">
      <c r="A177" s="1">
        <v>274</v>
      </c>
      <c r="C177" s="1" t="s">
        <v>338</v>
      </c>
      <c r="D177" s="1" t="s">
        <v>25</v>
      </c>
      <c r="E177" s="1" t="s">
        <v>135</v>
      </c>
      <c r="F177" s="1">
        <f>SUM(H177:P177)</f>
        <v>12</v>
      </c>
      <c r="G177" s="1"/>
      <c r="H177" s="1" t="s">
        <v>15</v>
      </c>
      <c r="I177" s="1">
        <v>1</v>
      </c>
      <c r="J177" s="1">
        <v>5</v>
      </c>
      <c r="K177" s="1" t="s">
        <v>16</v>
      </c>
      <c r="L177" s="1">
        <v>2</v>
      </c>
      <c r="M177" s="1">
        <v>1</v>
      </c>
      <c r="N177" s="1" t="s">
        <v>17</v>
      </c>
      <c r="O177" s="1">
        <v>2</v>
      </c>
      <c r="P177" s="1">
        <v>1</v>
      </c>
      <c r="S177" s="2">
        <v>140230</v>
      </c>
      <c r="T177" s="2"/>
    </row>
    <row r="178" spans="1:20" ht="18" hidden="1" customHeight="1" x14ac:dyDescent="0.45">
      <c r="A178" s="1">
        <v>38</v>
      </c>
      <c r="B178" s="1"/>
      <c r="C178" s="1" t="s">
        <v>412</v>
      </c>
      <c r="D178" s="1" t="s">
        <v>59</v>
      </c>
      <c r="E178" s="1" t="s">
        <v>133</v>
      </c>
      <c r="F178" s="1">
        <f>SUM(H178:P178)</f>
        <v>19</v>
      </c>
      <c r="G178" s="1">
        <f>COUNTIF(I178:P178,1)</f>
        <v>3</v>
      </c>
      <c r="H178" s="1" t="s">
        <v>15</v>
      </c>
      <c r="I178" s="1">
        <v>1</v>
      </c>
      <c r="J178" s="1">
        <v>3</v>
      </c>
      <c r="K178" s="1" t="s">
        <v>16</v>
      </c>
      <c r="L178" s="1">
        <v>1</v>
      </c>
      <c r="M178" s="1">
        <v>3</v>
      </c>
      <c r="N178" s="1" t="s">
        <v>17</v>
      </c>
      <c r="O178" s="1">
        <v>1</v>
      </c>
      <c r="P178" s="1">
        <v>10</v>
      </c>
      <c r="R178" s="1" t="s">
        <v>413</v>
      </c>
      <c r="S178" s="3">
        <v>2459280</v>
      </c>
      <c r="T178" s="1"/>
    </row>
    <row r="179" spans="1:20" ht="18" hidden="1" customHeight="1" x14ac:dyDescent="0.45">
      <c r="A179" s="1">
        <v>178</v>
      </c>
      <c r="C179" s="1" t="s">
        <v>228</v>
      </c>
      <c r="D179" s="1" t="s">
        <v>33</v>
      </c>
      <c r="E179" s="1" t="s">
        <v>38</v>
      </c>
      <c r="F179" s="1">
        <f>SUM(H179:P179)</f>
        <v>11</v>
      </c>
      <c r="G179" s="1"/>
      <c r="H179" s="1" t="s">
        <v>15</v>
      </c>
      <c r="I179" s="1">
        <v>1</v>
      </c>
      <c r="J179" s="1">
        <v>2</v>
      </c>
      <c r="K179" s="1" t="s">
        <v>16</v>
      </c>
      <c r="L179" s="1">
        <v>1</v>
      </c>
      <c r="M179" s="1">
        <v>4</v>
      </c>
      <c r="N179" s="1" t="s">
        <v>17</v>
      </c>
      <c r="O179" s="1">
        <v>1</v>
      </c>
      <c r="P179" s="1">
        <v>2</v>
      </c>
      <c r="Q179" s="1">
        <v>1</v>
      </c>
      <c r="S179" s="3">
        <v>28920</v>
      </c>
    </row>
    <row r="180" spans="1:20" ht="18" hidden="1" customHeight="1" x14ac:dyDescent="0.45">
      <c r="A180" s="1">
        <v>179</v>
      </c>
      <c r="C180" s="1" t="s">
        <v>18</v>
      </c>
      <c r="D180" s="1" t="s">
        <v>33</v>
      </c>
      <c r="E180" s="1" t="s">
        <v>187</v>
      </c>
      <c r="F180" s="1">
        <f>SUM(H180:P180)</f>
        <v>23</v>
      </c>
      <c r="G180" s="1"/>
      <c r="H180" s="1" t="s">
        <v>15</v>
      </c>
      <c r="I180" s="1">
        <v>10</v>
      </c>
      <c r="J180" s="1">
        <v>1</v>
      </c>
      <c r="K180" s="1" t="s">
        <v>16</v>
      </c>
      <c r="L180" s="1">
        <v>2</v>
      </c>
      <c r="M180" s="1">
        <v>1</v>
      </c>
      <c r="N180" s="1" t="s">
        <v>17</v>
      </c>
      <c r="O180" s="1">
        <v>7</v>
      </c>
      <c r="P180" s="1">
        <v>2</v>
      </c>
      <c r="T180" s="3">
        <v>8424206</v>
      </c>
    </row>
    <row r="181" spans="1:20" ht="18" hidden="1" customHeight="1" x14ac:dyDescent="0.45">
      <c r="A181" s="1">
        <v>180</v>
      </c>
      <c r="C181" s="1" t="s">
        <v>229</v>
      </c>
      <c r="D181" s="1" t="s">
        <v>28</v>
      </c>
      <c r="E181" s="1" t="s">
        <v>215</v>
      </c>
      <c r="F181" s="1">
        <f>SUM(H181:P181)</f>
        <v>18</v>
      </c>
      <c r="G181" s="1">
        <f>COUNTIF(I181:P181,1)</f>
        <v>3</v>
      </c>
      <c r="H181" s="1" t="s">
        <v>15</v>
      </c>
      <c r="I181" s="1">
        <v>1</v>
      </c>
      <c r="J181" s="1">
        <v>3</v>
      </c>
      <c r="K181" s="1" t="s">
        <v>16</v>
      </c>
      <c r="L181" s="1">
        <v>1</v>
      </c>
      <c r="M181" s="1">
        <v>4</v>
      </c>
      <c r="N181" s="1" t="s">
        <v>17</v>
      </c>
      <c r="O181" s="1">
        <v>1</v>
      </c>
      <c r="P181" s="1">
        <v>8</v>
      </c>
      <c r="S181" s="3">
        <v>97835</v>
      </c>
    </row>
    <row r="182" spans="1:20" ht="18" hidden="1" customHeight="1" x14ac:dyDescent="0.45">
      <c r="A182" s="1">
        <v>216</v>
      </c>
      <c r="C182" s="1" t="s">
        <v>272</v>
      </c>
      <c r="D182" s="1" t="s">
        <v>59</v>
      </c>
      <c r="E182" s="1" t="s">
        <v>262</v>
      </c>
      <c r="F182" s="1">
        <f>SUM(H182:P182)</f>
        <v>24</v>
      </c>
      <c r="G182" s="1">
        <f>COUNTIF(I182:P182,1)</f>
        <v>1</v>
      </c>
      <c r="H182" s="1" t="s">
        <v>15</v>
      </c>
      <c r="I182" s="1">
        <v>2</v>
      </c>
      <c r="J182" s="1">
        <v>6</v>
      </c>
      <c r="K182" s="1" t="s">
        <v>16</v>
      </c>
      <c r="L182" s="1">
        <v>2</v>
      </c>
      <c r="M182" s="1">
        <v>3</v>
      </c>
      <c r="N182" s="1" t="s">
        <v>17</v>
      </c>
      <c r="O182" s="1">
        <v>1</v>
      </c>
      <c r="P182" s="1">
        <v>10</v>
      </c>
      <c r="Q182" s="1">
        <v>1</v>
      </c>
      <c r="S182" s="3">
        <v>8914680</v>
      </c>
    </row>
    <row r="183" spans="1:20" ht="18" customHeight="1" x14ac:dyDescent="0.45">
      <c r="A183" s="1">
        <v>182</v>
      </c>
      <c r="C183" s="1" t="s">
        <v>230</v>
      </c>
      <c r="D183" s="1" t="s">
        <v>25</v>
      </c>
      <c r="E183" s="1" t="s">
        <v>231</v>
      </c>
      <c r="F183" s="1">
        <f>SUM(H183:P183)</f>
        <v>15</v>
      </c>
      <c r="G183" s="1">
        <f>COUNTIF(I183:P183,1)</f>
        <v>3</v>
      </c>
      <c r="H183" s="1" t="s">
        <v>15</v>
      </c>
      <c r="I183" s="1">
        <v>1</v>
      </c>
      <c r="J183" s="1">
        <v>3</v>
      </c>
      <c r="K183" s="1" t="s">
        <v>16</v>
      </c>
      <c r="L183" s="1">
        <v>1</v>
      </c>
      <c r="M183" s="1">
        <v>5</v>
      </c>
      <c r="N183" s="1" t="s">
        <v>17</v>
      </c>
      <c r="O183" s="1">
        <v>1</v>
      </c>
      <c r="P183" s="1">
        <v>4</v>
      </c>
      <c r="S183" s="2">
        <v>92465</v>
      </c>
      <c r="T183" s="2"/>
    </row>
    <row r="184" spans="1:20" ht="18" customHeight="1" x14ac:dyDescent="0.45">
      <c r="A184" s="1">
        <v>183</v>
      </c>
      <c r="C184" s="1" t="s">
        <v>24</v>
      </c>
      <c r="D184" s="1" t="s">
        <v>25</v>
      </c>
      <c r="E184" s="1" t="s">
        <v>26</v>
      </c>
      <c r="F184" s="1">
        <f>SUM(H184:P184)</f>
        <v>12</v>
      </c>
      <c r="G184" s="1"/>
      <c r="H184" s="1" t="s">
        <v>15</v>
      </c>
      <c r="I184" s="1">
        <v>1</v>
      </c>
      <c r="J184" s="1">
        <v>3</v>
      </c>
      <c r="K184" s="1" t="s">
        <v>16</v>
      </c>
      <c r="L184" s="1">
        <v>2</v>
      </c>
      <c r="M184" s="1">
        <v>3</v>
      </c>
      <c r="N184" s="1" t="s">
        <v>17</v>
      </c>
      <c r="O184" s="1">
        <v>1</v>
      </c>
      <c r="P184" s="1">
        <v>2</v>
      </c>
      <c r="Q184" s="1">
        <v>1</v>
      </c>
      <c r="S184" s="2">
        <v>140415</v>
      </c>
      <c r="T184" s="2"/>
    </row>
    <row r="185" spans="1:20" ht="18" customHeight="1" x14ac:dyDescent="0.45">
      <c r="A185" s="1">
        <v>184</v>
      </c>
      <c r="C185" s="1" t="s">
        <v>232</v>
      </c>
      <c r="D185" s="1" t="s">
        <v>25</v>
      </c>
      <c r="E185" s="1" t="s">
        <v>233</v>
      </c>
      <c r="F185" s="1">
        <f>SUM(H185:P185)</f>
        <v>20</v>
      </c>
      <c r="G185" s="1"/>
      <c r="H185" s="1" t="s">
        <v>15</v>
      </c>
      <c r="I185" s="1">
        <v>8</v>
      </c>
      <c r="J185" s="1">
        <v>1</v>
      </c>
      <c r="K185" s="1" t="s">
        <v>16</v>
      </c>
      <c r="L185" s="1">
        <v>1</v>
      </c>
      <c r="M185" s="1">
        <v>7</v>
      </c>
      <c r="N185" s="1" t="s">
        <v>17</v>
      </c>
      <c r="O185" s="1">
        <v>2</v>
      </c>
      <c r="P185" s="1">
        <v>1</v>
      </c>
      <c r="S185" s="2"/>
      <c r="T185" s="2">
        <v>13108466</v>
      </c>
    </row>
    <row r="186" spans="1:20" ht="18" customHeight="1" x14ac:dyDescent="0.45">
      <c r="A186" s="1">
        <v>185</v>
      </c>
      <c r="C186" s="1" t="s">
        <v>234</v>
      </c>
      <c r="D186" s="1" t="s">
        <v>25</v>
      </c>
      <c r="E186" s="1" t="s">
        <v>235</v>
      </c>
      <c r="F186" s="1">
        <f>SUM(H186:P186)</f>
        <v>24</v>
      </c>
      <c r="G186" s="1">
        <f>COUNTIF(I186:P186,1)</f>
        <v>0</v>
      </c>
      <c r="H186" s="1" t="s">
        <v>15</v>
      </c>
      <c r="I186" s="1">
        <v>3</v>
      </c>
      <c r="J186" s="1">
        <v>4</v>
      </c>
      <c r="K186" s="1" t="s">
        <v>16</v>
      </c>
      <c r="L186" s="1">
        <v>4</v>
      </c>
      <c r="M186" s="1">
        <v>5</v>
      </c>
      <c r="N186" s="1" t="s">
        <v>17</v>
      </c>
      <c r="O186" s="1">
        <v>2</v>
      </c>
      <c r="P186" s="1">
        <v>6</v>
      </c>
      <c r="S186" s="2">
        <v>2069240</v>
      </c>
      <c r="T186" s="2"/>
    </row>
    <row r="187" spans="1:20" ht="18" hidden="1" customHeight="1" x14ac:dyDescent="0.45">
      <c r="A187" s="1">
        <v>288</v>
      </c>
      <c r="C187" s="1" t="s">
        <v>357</v>
      </c>
      <c r="D187" s="1" t="s">
        <v>59</v>
      </c>
      <c r="E187" s="1" t="s">
        <v>105</v>
      </c>
      <c r="F187" s="1">
        <f>SUM(H187:P187)</f>
        <v>11</v>
      </c>
      <c r="G187" s="1"/>
      <c r="H187" s="1" t="s">
        <v>15</v>
      </c>
      <c r="I187" s="1">
        <v>1</v>
      </c>
      <c r="J187" s="1">
        <v>3</v>
      </c>
      <c r="K187" s="1" t="s">
        <v>16</v>
      </c>
      <c r="L187" s="1">
        <v>3</v>
      </c>
      <c r="M187" s="1">
        <v>1</v>
      </c>
      <c r="N187" s="1" t="s">
        <v>17</v>
      </c>
      <c r="O187" s="1">
        <v>1</v>
      </c>
      <c r="P187" s="1">
        <v>2</v>
      </c>
      <c r="S187" s="3">
        <v>144160</v>
      </c>
    </row>
    <row r="188" spans="1:20" ht="18" hidden="1" customHeight="1" x14ac:dyDescent="0.45">
      <c r="A188" s="1">
        <v>187</v>
      </c>
      <c r="C188" s="1" t="s">
        <v>238</v>
      </c>
      <c r="D188" s="1" t="s">
        <v>59</v>
      </c>
      <c r="E188" s="1" t="s">
        <v>231</v>
      </c>
      <c r="F188" s="1">
        <f>SUM(H188:P188)</f>
        <v>19</v>
      </c>
      <c r="G188" s="1"/>
      <c r="H188" s="1" t="s">
        <v>15</v>
      </c>
      <c r="I188" s="1">
        <v>3</v>
      </c>
      <c r="J188" s="1">
        <v>4</v>
      </c>
      <c r="K188" s="1" t="s">
        <v>16</v>
      </c>
      <c r="L188" s="1">
        <v>1</v>
      </c>
      <c r="M188" s="1">
        <v>4</v>
      </c>
      <c r="N188" s="1" t="s">
        <v>17</v>
      </c>
      <c r="O188" s="1">
        <v>6</v>
      </c>
      <c r="P188" s="1">
        <v>1</v>
      </c>
      <c r="S188" s="3">
        <v>1772115</v>
      </c>
    </row>
    <row r="189" spans="1:20" ht="18" hidden="1" customHeight="1" x14ac:dyDescent="0.45">
      <c r="A189" s="1">
        <v>17</v>
      </c>
      <c r="B189" s="1"/>
      <c r="C189" s="1" t="s">
        <v>392</v>
      </c>
      <c r="D189" s="1" t="s">
        <v>33</v>
      </c>
      <c r="E189" s="1" t="s">
        <v>362</v>
      </c>
      <c r="F189" s="1">
        <f>SUM(H189:P189)</f>
        <v>11</v>
      </c>
      <c r="G189" s="1">
        <f>COUNTIF(I189:P189,1)</f>
        <v>2</v>
      </c>
      <c r="H189" s="1" t="s">
        <v>15</v>
      </c>
      <c r="I189" s="1">
        <v>2</v>
      </c>
      <c r="J189" s="1">
        <v>3</v>
      </c>
      <c r="K189" s="1" t="s">
        <v>16</v>
      </c>
      <c r="L189" s="1">
        <v>1</v>
      </c>
      <c r="M189" s="1">
        <v>2</v>
      </c>
      <c r="N189" s="1" t="s">
        <v>17</v>
      </c>
      <c r="O189" s="1">
        <v>2</v>
      </c>
      <c r="P189" s="1">
        <v>1</v>
      </c>
      <c r="R189" s="1" t="s">
        <v>393</v>
      </c>
      <c r="S189" s="3">
        <v>149190</v>
      </c>
      <c r="T189" s="1">
        <v>0</v>
      </c>
    </row>
    <row r="190" spans="1:20" ht="18" hidden="1" customHeight="1" x14ac:dyDescent="0.45">
      <c r="A190" s="1">
        <v>7</v>
      </c>
      <c r="C190" s="1" t="s">
        <v>441</v>
      </c>
      <c r="D190" s="1" t="s">
        <v>28</v>
      </c>
      <c r="E190" s="1" t="s">
        <v>129</v>
      </c>
      <c r="F190" s="1">
        <f>SUM(H190:P190)</f>
        <v>25</v>
      </c>
      <c r="G190" s="1">
        <f>COUNTIF(I190:P190,1)</f>
        <v>2</v>
      </c>
      <c r="H190" s="1" t="s">
        <v>15</v>
      </c>
      <c r="I190" s="1">
        <v>3</v>
      </c>
      <c r="J190" s="1">
        <v>1</v>
      </c>
      <c r="K190" s="1" t="s">
        <v>16</v>
      </c>
      <c r="L190" s="1">
        <v>4</v>
      </c>
      <c r="M190" s="1">
        <v>5</v>
      </c>
      <c r="N190" s="1" t="s">
        <v>17</v>
      </c>
      <c r="O190" s="1">
        <v>1</v>
      </c>
      <c r="P190" s="1">
        <v>11</v>
      </c>
      <c r="R190" s="1" t="s">
        <v>426</v>
      </c>
      <c r="T190" s="3">
        <v>70529459</v>
      </c>
    </row>
    <row r="191" spans="1:20" ht="18" hidden="1" customHeight="1" x14ac:dyDescent="0.45">
      <c r="A191" s="1">
        <v>10</v>
      </c>
      <c r="B191" s="20"/>
      <c r="C191" s="1" t="s">
        <v>443</v>
      </c>
      <c r="D191" s="1" t="s">
        <v>28</v>
      </c>
      <c r="E191" s="1" t="s">
        <v>135</v>
      </c>
      <c r="F191" s="1">
        <f>SUM(H191:P191)</f>
        <v>34</v>
      </c>
      <c r="G191" s="1">
        <f>COUNTIF(I191:P191,1)</f>
        <v>2</v>
      </c>
      <c r="H191" s="1" t="s">
        <v>15</v>
      </c>
      <c r="I191" s="1">
        <v>5</v>
      </c>
      <c r="J191" s="1">
        <v>4</v>
      </c>
      <c r="K191" s="1" t="s">
        <v>16</v>
      </c>
      <c r="L191" s="1">
        <v>13</v>
      </c>
      <c r="M191" s="1">
        <v>1</v>
      </c>
      <c r="N191" s="1" t="s">
        <v>17</v>
      </c>
      <c r="O191" s="1">
        <v>1</v>
      </c>
      <c r="P191" s="1">
        <v>10</v>
      </c>
      <c r="Q191" s="1">
        <v>1</v>
      </c>
      <c r="R191" s="1" t="s">
        <v>426</v>
      </c>
      <c r="T191" s="3">
        <v>275763012</v>
      </c>
    </row>
    <row r="192" spans="1:20" ht="18" hidden="1" customHeight="1" x14ac:dyDescent="0.45">
      <c r="A192" s="1">
        <v>191</v>
      </c>
      <c r="C192" s="1" t="s">
        <v>242</v>
      </c>
      <c r="D192" s="1" t="s">
        <v>59</v>
      </c>
      <c r="E192" s="1" t="s">
        <v>237</v>
      </c>
      <c r="F192" s="1">
        <f>SUM(H192:P192)</f>
        <v>23</v>
      </c>
      <c r="G192" s="1"/>
      <c r="H192" s="1" t="s">
        <v>15</v>
      </c>
      <c r="I192" s="1">
        <v>12</v>
      </c>
      <c r="J192" s="1">
        <v>4</v>
      </c>
      <c r="K192" s="1" t="s">
        <v>16</v>
      </c>
      <c r="L192" s="1">
        <v>3</v>
      </c>
      <c r="M192" s="1">
        <v>1</v>
      </c>
      <c r="N192" s="1" t="s">
        <v>17</v>
      </c>
      <c r="O192" s="1">
        <v>1</v>
      </c>
      <c r="P192" s="1">
        <v>2</v>
      </c>
      <c r="T192" s="3">
        <v>9988685</v>
      </c>
    </row>
    <row r="193" spans="1:20" ht="18" hidden="1" customHeight="1" x14ac:dyDescent="0.45">
      <c r="A193" s="1">
        <v>192</v>
      </c>
      <c r="C193" s="1" t="s">
        <v>243</v>
      </c>
      <c r="D193" s="1" t="s">
        <v>33</v>
      </c>
      <c r="E193" s="1" t="s">
        <v>207</v>
      </c>
      <c r="F193" s="1">
        <f>SUM(H193:P193)</f>
        <v>13</v>
      </c>
      <c r="G193" s="1"/>
      <c r="H193" s="1" t="s">
        <v>15</v>
      </c>
      <c r="I193" s="1">
        <v>1</v>
      </c>
      <c r="J193" s="1">
        <v>2</v>
      </c>
      <c r="K193" s="1" t="s">
        <v>16</v>
      </c>
      <c r="L193" s="1">
        <v>2</v>
      </c>
      <c r="M193" s="1">
        <v>5</v>
      </c>
      <c r="N193" s="1" t="s">
        <v>17</v>
      </c>
      <c r="O193" s="1">
        <v>2</v>
      </c>
      <c r="P193" s="1">
        <v>1</v>
      </c>
      <c r="S193" s="3">
        <v>174715</v>
      </c>
    </row>
    <row r="194" spans="1:20" ht="18" hidden="1" customHeight="1" x14ac:dyDescent="0.45">
      <c r="A194" s="1">
        <v>193</v>
      </c>
      <c r="C194" s="1" t="s">
        <v>244</v>
      </c>
      <c r="D194" s="1" t="s">
        <v>33</v>
      </c>
      <c r="E194" s="1" t="s">
        <v>209</v>
      </c>
      <c r="F194" s="1">
        <f>SUM(H194:P194)</f>
        <v>17</v>
      </c>
      <c r="G194" s="1">
        <f>COUNTIF(I194:P194,1)</f>
        <v>1</v>
      </c>
      <c r="H194" s="1" t="s">
        <v>15</v>
      </c>
      <c r="I194" s="1">
        <v>2</v>
      </c>
      <c r="J194" s="1">
        <v>3</v>
      </c>
      <c r="K194" s="1" t="s">
        <v>16</v>
      </c>
      <c r="L194" s="1">
        <v>3</v>
      </c>
      <c r="M194" s="1">
        <v>1</v>
      </c>
      <c r="N194" s="1" t="s">
        <v>17</v>
      </c>
      <c r="O194" s="1">
        <v>2</v>
      </c>
      <c r="P194" s="1">
        <v>6</v>
      </c>
      <c r="S194" s="3">
        <v>2704355</v>
      </c>
    </row>
    <row r="195" spans="1:20" ht="18" hidden="1" customHeight="1" x14ac:dyDescent="0.45">
      <c r="A195" s="1">
        <v>194</v>
      </c>
      <c r="C195" s="1" t="s">
        <v>245</v>
      </c>
      <c r="D195" s="1" t="s">
        <v>33</v>
      </c>
      <c r="E195" s="1" t="s">
        <v>211</v>
      </c>
      <c r="F195" s="1">
        <f>SUM(H195:P195)</f>
        <v>19</v>
      </c>
      <c r="G195" s="1">
        <f>COUNTIF(I195:P195,1)</f>
        <v>2</v>
      </c>
      <c r="H195" s="1" t="s">
        <v>15</v>
      </c>
      <c r="I195" s="1">
        <v>1</v>
      </c>
      <c r="J195" s="1">
        <v>6</v>
      </c>
      <c r="K195" s="1" t="s">
        <v>16</v>
      </c>
      <c r="L195" s="1">
        <v>1</v>
      </c>
      <c r="M195" s="1">
        <v>2</v>
      </c>
      <c r="N195" s="1" t="s">
        <v>17</v>
      </c>
      <c r="O195" s="1">
        <v>5</v>
      </c>
      <c r="P195" s="1">
        <v>4</v>
      </c>
      <c r="Q195" s="1">
        <v>1</v>
      </c>
      <c r="S195" s="3">
        <v>1676885</v>
      </c>
    </row>
    <row r="196" spans="1:20" ht="18" hidden="1" customHeight="1" x14ac:dyDescent="0.45">
      <c r="A196" s="1">
        <v>195</v>
      </c>
      <c r="C196" s="1" t="s">
        <v>246</v>
      </c>
      <c r="D196" s="1" t="s">
        <v>33</v>
      </c>
      <c r="E196" s="1" t="s">
        <v>213</v>
      </c>
      <c r="F196" s="1">
        <f>SUM(H196:P196)</f>
        <v>21</v>
      </c>
      <c r="G196" s="1"/>
      <c r="H196" s="1" t="s">
        <v>15</v>
      </c>
      <c r="I196" s="1">
        <v>1</v>
      </c>
      <c r="J196" s="1">
        <v>5</v>
      </c>
      <c r="K196" s="1" t="s">
        <v>16</v>
      </c>
      <c r="L196" s="1">
        <v>7</v>
      </c>
      <c r="M196" s="1">
        <v>3</v>
      </c>
      <c r="N196" s="1" t="s">
        <v>17</v>
      </c>
      <c r="O196" s="1">
        <v>2</v>
      </c>
      <c r="P196" s="1">
        <v>3</v>
      </c>
      <c r="T196" s="3">
        <v>12700226</v>
      </c>
    </row>
    <row r="197" spans="1:20" ht="18" hidden="1" customHeight="1" x14ac:dyDescent="0.45">
      <c r="A197" s="1">
        <v>96</v>
      </c>
      <c r="C197" s="1" t="s">
        <v>20</v>
      </c>
      <c r="D197" s="1" t="s">
        <v>59</v>
      </c>
      <c r="E197" s="1" t="s">
        <v>87</v>
      </c>
      <c r="F197" s="1">
        <f>SUM(H197:P197)</f>
        <v>17</v>
      </c>
      <c r="G197" s="1">
        <f>COUNTIF(I197:P197,1)</f>
        <v>3</v>
      </c>
      <c r="H197" s="1" t="s">
        <v>15</v>
      </c>
      <c r="I197" s="1">
        <v>2</v>
      </c>
      <c r="J197" s="1">
        <v>1</v>
      </c>
      <c r="K197" s="1" t="s">
        <v>16</v>
      </c>
      <c r="L197" s="1">
        <v>1</v>
      </c>
      <c r="M197" s="1">
        <v>3</v>
      </c>
      <c r="N197" s="1" t="s">
        <v>17</v>
      </c>
      <c r="O197" s="1">
        <v>1</v>
      </c>
      <c r="P197" s="1">
        <v>9</v>
      </c>
      <c r="Q197" s="1">
        <v>1</v>
      </c>
      <c r="S197" s="3">
        <v>702840</v>
      </c>
    </row>
    <row r="198" spans="1:20" ht="18" hidden="1" customHeight="1" x14ac:dyDescent="0.45">
      <c r="A198" s="1">
        <v>197</v>
      </c>
      <c r="C198" s="1" t="s">
        <v>248</v>
      </c>
      <c r="D198" s="1" t="s">
        <v>28</v>
      </c>
      <c r="E198" s="1" t="s">
        <v>231</v>
      </c>
      <c r="F198" s="1">
        <f>SUM(H198:P198)</f>
        <v>12</v>
      </c>
      <c r="G198" s="1"/>
      <c r="H198" s="1" t="s">
        <v>15</v>
      </c>
      <c r="I198" s="1">
        <v>3</v>
      </c>
      <c r="J198" s="1">
        <v>1</v>
      </c>
      <c r="K198" s="1" t="s">
        <v>16</v>
      </c>
      <c r="L198" s="1">
        <v>2</v>
      </c>
      <c r="M198" s="1">
        <v>1</v>
      </c>
      <c r="N198" s="1" t="s">
        <v>17</v>
      </c>
      <c r="O198" s="1">
        <v>2</v>
      </c>
      <c r="P198" s="1">
        <v>3</v>
      </c>
      <c r="Q198" s="1">
        <v>1</v>
      </c>
      <c r="S198" s="3">
        <v>156435</v>
      </c>
    </row>
    <row r="199" spans="1:20" ht="18" hidden="1" customHeight="1" x14ac:dyDescent="0.45">
      <c r="A199" s="1">
        <v>21</v>
      </c>
      <c r="C199" s="1" t="s">
        <v>446</v>
      </c>
      <c r="D199" s="1" t="s">
        <v>28</v>
      </c>
      <c r="E199" s="1" t="s">
        <v>60</v>
      </c>
      <c r="F199" s="1">
        <f>SUM(H199:P199)</f>
        <v>34</v>
      </c>
      <c r="G199" s="1">
        <f>COUNTIF(I199:P199,1)</f>
        <v>1</v>
      </c>
      <c r="H199" s="1" t="s">
        <v>15</v>
      </c>
      <c r="I199" s="1">
        <v>3</v>
      </c>
      <c r="J199" s="1">
        <v>9</v>
      </c>
      <c r="K199" s="1" t="s">
        <v>16</v>
      </c>
      <c r="L199" s="1">
        <v>6</v>
      </c>
      <c r="M199" s="1">
        <v>4</v>
      </c>
      <c r="N199" s="1" t="s">
        <v>17</v>
      </c>
      <c r="O199" s="1">
        <v>1</v>
      </c>
      <c r="P199" s="1">
        <v>11</v>
      </c>
      <c r="Q199" s="1">
        <v>1</v>
      </c>
      <c r="R199" s="1" t="s">
        <v>426</v>
      </c>
      <c r="T199" s="3">
        <v>82449073</v>
      </c>
    </row>
    <row r="200" spans="1:20" ht="18" hidden="1" customHeight="1" x14ac:dyDescent="0.45">
      <c r="A200" s="1">
        <v>22</v>
      </c>
      <c r="C200" s="1" t="s">
        <v>446</v>
      </c>
      <c r="D200" s="1" t="s">
        <v>28</v>
      </c>
      <c r="E200" s="1" t="s">
        <v>60</v>
      </c>
      <c r="F200" s="1">
        <f>SUM(H200:P200)</f>
        <v>34</v>
      </c>
      <c r="G200" s="1">
        <f>COUNTIF(I200:P200,1)</f>
        <v>1</v>
      </c>
      <c r="H200" s="1" t="s">
        <v>15</v>
      </c>
      <c r="I200" s="1">
        <v>9</v>
      </c>
      <c r="J200" s="1">
        <v>3</v>
      </c>
      <c r="K200" s="1" t="s">
        <v>16</v>
      </c>
      <c r="L200" s="1">
        <v>6</v>
      </c>
      <c r="M200" s="1">
        <v>4</v>
      </c>
      <c r="N200" s="1" t="s">
        <v>17</v>
      </c>
      <c r="O200" s="1">
        <v>1</v>
      </c>
      <c r="P200" s="1">
        <v>11</v>
      </c>
      <c r="Q200" s="1">
        <v>1</v>
      </c>
      <c r="R200" s="1" t="s">
        <v>426</v>
      </c>
      <c r="T200" s="3">
        <v>82449073</v>
      </c>
    </row>
    <row r="201" spans="1:20" ht="18" hidden="1" customHeight="1" x14ac:dyDescent="0.45">
      <c r="A201" s="1">
        <v>200</v>
      </c>
      <c r="C201" s="1" t="s">
        <v>251</v>
      </c>
      <c r="D201" s="1" t="s">
        <v>28</v>
      </c>
      <c r="E201" s="1" t="s">
        <v>235</v>
      </c>
      <c r="F201" s="1">
        <f>SUM(H201:P201)</f>
        <v>16</v>
      </c>
      <c r="G201" s="1">
        <f>COUNTIF(I201:P201,1)</f>
        <v>2</v>
      </c>
      <c r="H201" s="1" t="s">
        <v>15</v>
      </c>
      <c r="I201" s="1">
        <v>1</v>
      </c>
      <c r="J201" s="1">
        <v>3</v>
      </c>
      <c r="K201" s="1" t="s">
        <v>16</v>
      </c>
      <c r="L201" s="1">
        <v>1</v>
      </c>
      <c r="M201" s="1">
        <v>2</v>
      </c>
      <c r="N201" s="1" t="s">
        <v>17</v>
      </c>
      <c r="O201" s="1">
        <v>5</v>
      </c>
      <c r="P201" s="1">
        <v>4</v>
      </c>
      <c r="S201" s="3">
        <v>100795</v>
      </c>
    </row>
    <row r="202" spans="1:20" ht="18" hidden="1" customHeight="1" x14ac:dyDescent="0.45">
      <c r="A202" s="1">
        <v>201</v>
      </c>
      <c r="C202" s="1" t="s">
        <v>252</v>
      </c>
      <c r="D202" s="1" t="s">
        <v>28</v>
      </c>
      <c r="E202" s="1" t="s">
        <v>237</v>
      </c>
      <c r="F202" s="1">
        <f>SUM(H202:P202)</f>
        <v>21</v>
      </c>
      <c r="G202" s="1"/>
      <c r="H202" s="1" t="s">
        <v>15</v>
      </c>
      <c r="I202" s="1">
        <v>4</v>
      </c>
      <c r="J202" s="1">
        <v>8</v>
      </c>
      <c r="K202" s="1" t="s">
        <v>16</v>
      </c>
      <c r="L202" s="1">
        <v>2</v>
      </c>
      <c r="M202" s="1">
        <v>1</v>
      </c>
      <c r="N202" s="1" t="s">
        <v>17</v>
      </c>
      <c r="O202" s="1">
        <v>5</v>
      </c>
      <c r="P202" s="1">
        <v>1</v>
      </c>
      <c r="S202" s="3">
        <v>5710060</v>
      </c>
    </row>
    <row r="203" spans="1:20" ht="18" customHeight="1" x14ac:dyDescent="0.45">
      <c r="A203" s="1">
        <v>202</v>
      </c>
      <c r="C203" s="1" t="s">
        <v>253</v>
      </c>
      <c r="D203" s="1" t="s">
        <v>25</v>
      </c>
      <c r="E203" s="1" t="s">
        <v>254</v>
      </c>
      <c r="F203" s="1">
        <f>SUM(H203:P203)</f>
        <v>19</v>
      </c>
      <c r="G203" s="1"/>
      <c r="H203" s="1" t="s">
        <v>15</v>
      </c>
      <c r="I203" s="1">
        <v>3</v>
      </c>
      <c r="J203" s="1">
        <v>1</v>
      </c>
      <c r="K203" s="1" t="s">
        <v>16</v>
      </c>
      <c r="L203" s="1">
        <v>3</v>
      </c>
      <c r="M203" s="1">
        <v>6</v>
      </c>
      <c r="N203" s="1" t="s">
        <v>17</v>
      </c>
      <c r="O203" s="1">
        <v>5</v>
      </c>
      <c r="P203" s="1">
        <v>1</v>
      </c>
      <c r="S203" s="2">
        <v>2703170</v>
      </c>
      <c r="T203" s="2"/>
    </row>
    <row r="204" spans="1:20" ht="18" customHeight="1" x14ac:dyDescent="0.45">
      <c r="A204" s="1">
        <v>203</v>
      </c>
      <c r="C204" s="1" t="s">
        <v>255</v>
      </c>
      <c r="D204" s="1" t="s">
        <v>25</v>
      </c>
      <c r="E204" s="1" t="s">
        <v>256</v>
      </c>
      <c r="F204" s="1">
        <f>SUM(H204:P204)</f>
        <v>15</v>
      </c>
      <c r="G204" s="1"/>
      <c r="H204" s="1" t="s">
        <v>15</v>
      </c>
      <c r="I204" s="1">
        <v>5</v>
      </c>
      <c r="J204" s="1">
        <v>4</v>
      </c>
      <c r="K204" s="1" t="s">
        <v>16</v>
      </c>
      <c r="L204" s="1">
        <v>2</v>
      </c>
      <c r="M204" s="1">
        <v>1</v>
      </c>
      <c r="N204" s="1" t="s">
        <v>17</v>
      </c>
      <c r="O204" s="1">
        <v>2</v>
      </c>
      <c r="P204" s="1">
        <v>1</v>
      </c>
      <c r="Q204" s="1">
        <v>1</v>
      </c>
      <c r="S204" s="2">
        <v>1335845</v>
      </c>
      <c r="T204" s="2"/>
    </row>
    <row r="205" spans="1:20" ht="18" customHeight="1" x14ac:dyDescent="0.45">
      <c r="A205" s="1">
        <v>204</v>
      </c>
      <c r="C205" s="1" t="s">
        <v>257</v>
      </c>
      <c r="D205" s="1" t="s">
        <v>25</v>
      </c>
      <c r="E205" s="1" t="s">
        <v>258</v>
      </c>
      <c r="F205" s="1">
        <f>SUM(H205:P205)</f>
        <v>27</v>
      </c>
      <c r="G205" s="1"/>
      <c r="H205" s="1" t="s">
        <v>15</v>
      </c>
      <c r="I205" s="1">
        <v>4</v>
      </c>
      <c r="J205" s="1">
        <v>6</v>
      </c>
      <c r="K205" s="1" t="s">
        <v>16</v>
      </c>
      <c r="L205" s="1">
        <v>5</v>
      </c>
      <c r="M205" s="1">
        <v>7</v>
      </c>
      <c r="N205" s="1" t="s">
        <v>17</v>
      </c>
      <c r="O205" s="1">
        <v>2</v>
      </c>
      <c r="P205" s="1">
        <v>3</v>
      </c>
      <c r="Q205" s="1">
        <v>1</v>
      </c>
      <c r="S205" s="2"/>
      <c r="T205" s="2">
        <v>43072260</v>
      </c>
    </row>
    <row r="206" spans="1:20" ht="18" customHeight="1" x14ac:dyDescent="0.45">
      <c r="A206" s="1">
        <v>205</v>
      </c>
      <c r="C206" s="1" t="s">
        <v>259</v>
      </c>
      <c r="D206" s="1" t="s">
        <v>25</v>
      </c>
      <c r="E206" s="1" t="s">
        <v>260</v>
      </c>
      <c r="F206" s="1">
        <f>SUM(H206:P206)</f>
        <v>28</v>
      </c>
      <c r="G206" s="1"/>
      <c r="H206" s="1" t="s">
        <v>15</v>
      </c>
      <c r="I206" s="1">
        <v>8</v>
      </c>
      <c r="J206" s="1">
        <v>3</v>
      </c>
      <c r="K206" s="1" t="s">
        <v>16</v>
      </c>
      <c r="L206" s="1">
        <v>4</v>
      </c>
      <c r="M206" s="1">
        <v>6</v>
      </c>
      <c r="N206" s="1" t="s">
        <v>17</v>
      </c>
      <c r="O206" s="1">
        <v>6</v>
      </c>
      <c r="P206" s="1">
        <v>1</v>
      </c>
      <c r="S206" s="2"/>
      <c r="T206" s="2">
        <v>8176805</v>
      </c>
    </row>
    <row r="207" spans="1:20" ht="18" customHeight="1" x14ac:dyDescent="0.45">
      <c r="A207" s="1">
        <v>206</v>
      </c>
      <c r="C207" s="1" t="s">
        <v>261</v>
      </c>
      <c r="D207" s="1" t="s">
        <v>25</v>
      </c>
      <c r="E207" s="1" t="s">
        <v>262</v>
      </c>
      <c r="F207" s="1">
        <f>SUM(H207:P207)</f>
        <v>16</v>
      </c>
      <c r="G207" s="1"/>
      <c r="H207" s="1" t="s">
        <v>15</v>
      </c>
      <c r="I207" s="1">
        <v>2</v>
      </c>
      <c r="J207" s="1">
        <v>1</v>
      </c>
      <c r="K207" s="1" t="s">
        <v>16</v>
      </c>
      <c r="L207" s="1">
        <v>2</v>
      </c>
      <c r="M207" s="1">
        <v>8</v>
      </c>
      <c r="N207" s="1" t="s">
        <v>17</v>
      </c>
      <c r="O207" s="1">
        <v>2</v>
      </c>
      <c r="P207" s="1">
        <v>1</v>
      </c>
      <c r="S207" s="2">
        <v>4624175</v>
      </c>
      <c r="T207" s="2"/>
    </row>
    <row r="208" spans="1:20" ht="18" hidden="1" customHeight="1" x14ac:dyDescent="0.45">
      <c r="A208" s="1">
        <v>207</v>
      </c>
      <c r="C208" s="1" t="s">
        <v>263</v>
      </c>
      <c r="D208" s="1" t="s">
        <v>33</v>
      </c>
      <c r="E208" s="1" t="s">
        <v>231</v>
      </c>
      <c r="F208" s="1">
        <f>SUM(H208:P208)</f>
        <v>16</v>
      </c>
      <c r="G208" s="1"/>
      <c r="H208" s="1" t="s">
        <v>15</v>
      </c>
      <c r="I208" s="1">
        <v>5</v>
      </c>
      <c r="J208" s="1">
        <v>2</v>
      </c>
      <c r="K208" s="1" t="s">
        <v>16</v>
      </c>
      <c r="L208" s="1">
        <v>1</v>
      </c>
      <c r="M208" s="1">
        <v>4</v>
      </c>
      <c r="N208" s="1" t="s">
        <v>17</v>
      </c>
      <c r="O208" s="1">
        <v>3</v>
      </c>
      <c r="P208" s="1">
        <v>1</v>
      </c>
      <c r="S208" s="3">
        <v>2505335</v>
      </c>
    </row>
    <row r="209" spans="1:20" ht="18" hidden="1" customHeight="1" x14ac:dyDescent="0.45">
      <c r="A209" s="1">
        <v>208</v>
      </c>
      <c r="C209" s="1" t="s">
        <v>264</v>
      </c>
      <c r="D209" s="1" t="s">
        <v>33</v>
      </c>
      <c r="E209" s="1" t="s">
        <v>26</v>
      </c>
      <c r="F209" s="1">
        <f>SUM(H209:P209)</f>
        <v>18</v>
      </c>
      <c r="G209" s="1"/>
      <c r="H209" s="1" t="s">
        <v>15</v>
      </c>
      <c r="I209" s="1">
        <v>1</v>
      </c>
      <c r="J209" s="1">
        <v>3</v>
      </c>
      <c r="K209" s="1" t="s">
        <v>16</v>
      </c>
      <c r="L209" s="1">
        <v>3</v>
      </c>
      <c r="M209" s="1">
        <v>7</v>
      </c>
      <c r="N209" s="1" t="s">
        <v>17</v>
      </c>
      <c r="O209" s="1">
        <v>1</v>
      </c>
      <c r="P209" s="1">
        <v>3</v>
      </c>
      <c r="S209" s="3">
        <v>1371985</v>
      </c>
    </row>
    <row r="210" spans="1:20" ht="18" hidden="1" customHeight="1" x14ac:dyDescent="0.45">
      <c r="A210" s="1">
        <v>209</v>
      </c>
      <c r="B210">
        <v>1</v>
      </c>
      <c r="C210" s="1" t="s">
        <v>265</v>
      </c>
      <c r="D210" s="1" t="s">
        <v>33</v>
      </c>
      <c r="E210" s="1" t="s">
        <v>233</v>
      </c>
      <c r="F210" s="1">
        <f>SUM(H210:P210)</f>
        <v>13</v>
      </c>
      <c r="G210" s="1"/>
      <c r="H210" s="1" t="s">
        <v>15</v>
      </c>
      <c r="I210" s="1">
        <v>4</v>
      </c>
      <c r="J210" s="1">
        <v>2</v>
      </c>
      <c r="K210" s="1" t="s">
        <v>16</v>
      </c>
      <c r="L210" s="1">
        <v>3</v>
      </c>
      <c r="M210" s="1">
        <v>1</v>
      </c>
      <c r="N210" s="1" t="s">
        <v>17</v>
      </c>
      <c r="O210" s="1">
        <v>1</v>
      </c>
      <c r="P210" s="1">
        <v>2</v>
      </c>
      <c r="S210" s="3">
        <v>881555</v>
      </c>
    </row>
    <row r="211" spans="1:20" ht="18" hidden="1" customHeight="1" x14ac:dyDescent="0.45">
      <c r="A211" s="1">
        <v>210</v>
      </c>
      <c r="C211" s="1" t="s">
        <v>266</v>
      </c>
      <c r="D211" s="1" t="s">
        <v>33</v>
      </c>
      <c r="E211" s="1" t="s">
        <v>235</v>
      </c>
      <c r="F211" s="1">
        <f>SUM(H211:P211)</f>
        <v>14</v>
      </c>
      <c r="G211" s="1"/>
      <c r="H211" s="1" t="s">
        <v>15</v>
      </c>
      <c r="I211" s="1">
        <v>2</v>
      </c>
      <c r="J211" s="1">
        <v>1</v>
      </c>
      <c r="K211" s="1" t="s">
        <v>16</v>
      </c>
      <c r="L211" s="1">
        <v>5</v>
      </c>
      <c r="M211" s="1">
        <v>1</v>
      </c>
      <c r="N211" s="1" t="s">
        <v>17</v>
      </c>
      <c r="O211" s="1">
        <v>2</v>
      </c>
      <c r="P211" s="1">
        <v>3</v>
      </c>
      <c r="S211" s="3">
        <v>468185</v>
      </c>
    </row>
    <row r="212" spans="1:20" ht="18" hidden="1" customHeight="1" x14ac:dyDescent="0.45">
      <c r="A212" s="1">
        <v>211</v>
      </c>
      <c r="C212" s="1" t="s">
        <v>267</v>
      </c>
      <c r="D212" s="1" t="s">
        <v>33</v>
      </c>
      <c r="E212" s="1" t="s">
        <v>237</v>
      </c>
      <c r="F212" s="1">
        <f>SUM(H212:P212)</f>
        <v>17</v>
      </c>
      <c r="G212" s="1"/>
      <c r="H212" s="1" t="s">
        <v>15</v>
      </c>
      <c r="I212" s="1">
        <v>1</v>
      </c>
      <c r="J212" s="1">
        <v>2</v>
      </c>
      <c r="K212" s="1" t="s">
        <v>16</v>
      </c>
      <c r="L212" s="1">
        <v>1</v>
      </c>
      <c r="M212" s="1">
        <v>9</v>
      </c>
      <c r="N212" s="1" t="s">
        <v>17</v>
      </c>
      <c r="O212" s="1">
        <v>3</v>
      </c>
      <c r="P212" s="1">
        <v>1</v>
      </c>
      <c r="S212" s="3">
        <v>11212045</v>
      </c>
    </row>
    <row r="213" spans="1:20" ht="18" hidden="1" customHeight="1" x14ac:dyDescent="0.45">
      <c r="A213" s="1">
        <v>212</v>
      </c>
      <c r="C213" s="1" t="s">
        <v>268</v>
      </c>
      <c r="D213" s="1" t="s">
        <v>59</v>
      </c>
      <c r="E213" s="1" t="s">
        <v>254</v>
      </c>
      <c r="F213" s="1">
        <f>SUM(H213:P213)</f>
        <v>19</v>
      </c>
      <c r="G213" s="1"/>
      <c r="H213" s="1" t="s">
        <v>15</v>
      </c>
      <c r="I213" s="1">
        <v>4</v>
      </c>
      <c r="J213" s="1">
        <v>5</v>
      </c>
      <c r="K213" s="1" t="s">
        <v>16</v>
      </c>
      <c r="L213" s="1">
        <v>4</v>
      </c>
      <c r="M213" s="1">
        <v>3</v>
      </c>
      <c r="N213" s="1" t="s">
        <v>17</v>
      </c>
      <c r="O213" s="1">
        <v>2</v>
      </c>
      <c r="P213" s="1">
        <v>1</v>
      </c>
      <c r="S213" s="3">
        <v>12205455</v>
      </c>
    </row>
    <row r="214" spans="1:20" ht="18" hidden="1" customHeight="1" x14ac:dyDescent="0.45">
      <c r="A214" s="1">
        <v>213</v>
      </c>
      <c r="C214" s="1" t="s">
        <v>269</v>
      </c>
      <c r="D214" s="1" t="s">
        <v>59</v>
      </c>
      <c r="E214" s="1" t="s">
        <v>256</v>
      </c>
      <c r="F214" s="1">
        <f>SUM(H214:P214)</f>
        <v>13</v>
      </c>
      <c r="G214" s="1"/>
      <c r="H214" s="1" t="s">
        <v>15</v>
      </c>
      <c r="I214" s="1">
        <v>4</v>
      </c>
      <c r="J214" s="1">
        <v>1</v>
      </c>
      <c r="K214" s="1" t="s">
        <v>16</v>
      </c>
      <c r="L214" s="1">
        <v>4</v>
      </c>
      <c r="M214" s="1">
        <v>1</v>
      </c>
      <c r="N214" s="1" t="s">
        <v>17</v>
      </c>
      <c r="O214" s="1">
        <v>2</v>
      </c>
      <c r="P214" s="1">
        <v>1</v>
      </c>
      <c r="S214" s="3">
        <v>668040</v>
      </c>
    </row>
    <row r="215" spans="1:20" ht="18" hidden="1" customHeight="1" x14ac:dyDescent="0.45">
      <c r="A215" s="1">
        <v>214</v>
      </c>
      <c r="C215" s="1" t="s">
        <v>270</v>
      </c>
      <c r="D215" s="1" t="s">
        <v>59</v>
      </c>
      <c r="E215" s="1" t="s">
        <v>258</v>
      </c>
      <c r="F215" s="1">
        <f>SUM(H215:P215)</f>
        <v>18</v>
      </c>
      <c r="G215" s="1"/>
      <c r="H215" s="1" t="s">
        <v>15</v>
      </c>
      <c r="I215" s="1">
        <v>2</v>
      </c>
      <c r="J215" s="1">
        <v>6</v>
      </c>
      <c r="K215" s="1" t="s">
        <v>16</v>
      </c>
      <c r="L215" s="1">
        <v>2</v>
      </c>
      <c r="M215" s="1">
        <v>1</v>
      </c>
      <c r="N215" s="1" t="s">
        <v>17</v>
      </c>
      <c r="O215" s="1">
        <v>6</v>
      </c>
      <c r="P215" s="1">
        <v>1</v>
      </c>
      <c r="S215" s="3">
        <v>7405490</v>
      </c>
    </row>
    <row r="216" spans="1:20" ht="18" hidden="1" customHeight="1" x14ac:dyDescent="0.45">
      <c r="A216" s="1">
        <v>215</v>
      </c>
      <c r="C216" s="1" t="s">
        <v>271</v>
      </c>
      <c r="D216" s="1" t="s">
        <v>59</v>
      </c>
      <c r="E216" s="1" t="s">
        <v>260</v>
      </c>
      <c r="F216" s="1">
        <f>SUM(H216:P216)</f>
        <v>21</v>
      </c>
      <c r="G216" s="1"/>
      <c r="H216" s="1" t="s">
        <v>15</v>
      </c>
      <c r="I216" s="1">
        <v>4</v>
      </c>
      <c r="J216" s="1">
        <v>5</v>
      </c>
      <c r="K216" s="1" t="s">
        <v>16</v>
      </c>
      <c r="L216" s="1">
        <v>1</v>
      </c>
      <c r="M216" s="1">
        <v>3</v>
      </c>
      <c r="N216" s="1" t="s">
        <v>17</v>
      </c>
      <c r="O216" s="1">
        <v>5</v>
      </c>
      <c r="P216" s="1">
        <v>3</v>
      </c>
      <c r="S216" s="3">
        <v>1042140</v>
      </c>
    </row>
    <row r="217" spans="1:20" ht="18" hidden="1" customHeight="1" x14ac:dyDescent="0.45">
      <c r="A217" s="1">
        <v>280</v>
      </c>
      <c r="C217" s="1" t="s">
        <v>349</v>
      </c>
      <c r="D217" s="1" t="s">
        <v>28</v>
      </c>
      <c r="E217" s="1" t="s">
        <v>97</v>
      </c>
      <c r="F217" s="1">
        <f>SUM(H217:P217)</f>
        <v>17</v>
      </c>
      <c r="G217" s="1">
        <f>COUNTIF(I217:P217,1)</f>
        <v>1</v>
      </c>
      <c r="H217" s="1" t="s">
        <v>15</v>
      </c>
      <c r="I217" s="1">
        <v>2</v>
      </c>
      <c r="J217" s="1">
        <v>3</v>
      </c>
      <c r="K217" s="1" t="s">
        <v>16</v>
      </c>
      <c r="L217" s="1">
        <v>1</v>
      </c>
      <c r="M217" s="1">
        <v>3</v>
      </c>
      <c r="N217" s="1" t="s">
        <v>17</v>
      </c>
      <c r="O217" s="1">
        <v>2</v>
      </c>
      <c r="P217" s="1">
        <v>6</v>
      </c>
      <c r="Q217" s="1">
        <v>1</v>
      </c>
      <c r="S217" s="3">
        <v>728615</v>
      </c>
    </row>
    <row r="218" spans="1:20" ht="18" hidden="1" customHeight="1" x14ac:dyDescent="0.45">
      <c r="A218" s="1">
        <v>217</v>
      </c>
      <c r="C218" s="1" t="s">
        <v>273</v>
      </c>
      <c r="D218" s="1" t="s">
        <v>28</v>
      </c>
      <c r="E218" s="1" t="s">
        <v>254</v>
      </c>
      <c r="F218" s="1">
        <f>SUM(H218:P218)</f>
        <v>19</v>
      </c>
      <c r="G218" s="1"/>
      <c r="H218" s="1" t="s">
        <v>15</v>
      </c>
      <c r="I218" s="1">
        <v>1</v>
      </c>
      <c r="J218" s="1">
        <v>5</v>
      </c>
      <c r="K218" s="1" t="s">
        <v>16</v>
      </c>
      <c r="L218" s="1">
        <v>3</v>
      </c>
      <c r="M218" s="1">
        <v>6</v>
      </c>
      <c r="N218" s="1" t="s">
        <v>17</v>
      </c>
      <c r="O218" s="1">
        <v>1</v>
      </c>
      <c r="P218" s="1">
        <v>3</v>
      </c>
      <c r="S218" s="3">
        <v>913825</v>
      </c>
    </row>
    <row r="219" spans="1:20" ht="18" hidden="1" customHeight="1" x14ac:dyDescent="0.45">
      <c r="A219" s="1">
        <v>218</v>
      </c>
      <c r="C219" s="1" t="s">
        <v>274</v>
      </c>
      <c r="D219" s="1" t="s">
        <v>28</v>
      </c>
      <c r="E219" s="1" t="s">
        <v>256</v>
      </c>
      <c r="F219" s="1">
        <f>SUM(H219:P219)</f>
        <v>21</v>
      </c>
      <c r="G219" s="1">
        <f>COUNTIF(I219:P219,1)</f>
        <v>2</v>
      </c>
      <c r="H219" s="1" t="s">
        <v>15</v>
      </c>
      <c r="I219" s="1">
        <v>3</v>
      </c>
      <c r="J219" s="1">
        <v>1</v>
      </c>
      <c r="K219" s="1" t="s">
        <v>16</v>
      </c>
      <c r="L219" s="1">
        <v>3</v>
      </c>
      <c r="M219" s="1">
        <v>5</v>
      </c>
      <c r="N219" s="1" t="s">
        <v>17</v>
      </c>
      <c r="O219" s="1">
        <v>1</v>
      </c>
      <c r="P219" s="1">
        <v>8</v>
      </c>
      <c r="S219" s="3">
        <v>4382800</v>
      </c>
    </row>
    <row r="220" spans="1:20" ht="18" hidden="1" customHeight="1" x14ac:dyDescent="0.45">
      <c r="A220" s="1">
        <v>219</v>
      </c>
      <c r="C220" s="1" t="s">
        <v>275</v>
      </c>
      <c r="D220" s="1" t="s">
        <v>28</v>
      </c>
      <c r="E220" s="1" t="s">
        <v>258</v>
      </c>
      <c r="F220" s="1">
        <f>SUM(H220:P220)</f>
        <v>15</v>
      </c>
      <c r="G220" s="1"/>
      <c r="H220" s="1" t="s">
        <v>15</v>
      </c>
      <c r="I220" s="1">
        <v>1</v>
      </c>
      <c r="J220" s="1">
        <v>4</v>
      </c>
      <c r="K220" s="1" t="s">
        <v>16</v>
      </c>
      <c r="L220" s="1">
        <v>3</v>
      </c>
      <c r="M220" s="1">
        <v>2</v>
      </c>
      <c r="N220" s="1" t="s">
        <v>17</v>
      </c>
      <c r="O220" s="1">
        <v>3</v>
      </c>
      <c r="P220" s="1">
        <v>2</v>
      </c>
      <c r="S220" s="3">
        <v>463335</v>
      </c>
    </row>
    <row r="221" spans="1:20" ht="18" hidden="1" customHeight="1" x14ac:dyDescent="0.45">
      <c r="A221" s="1">
        <v>220</v>
      </c>
      <c r="C221" s="1" t="s">
        <v>276</v>
      </c>
      <c r="D221" s="1" t="s">
        <v>28</v>
      </c>
      <c r="E221" s="1" t="s">
        <v>260</v>
      </c>
      <c r="F221" s="1">
        <f>SUM(H221:P221)</f>
        <v>29</v>
      </c>
      <c r="G221" s="1">
        <f>COUNTIF(I221:P221,1)</f>
        <v>1</v>
      </c>
      <c r="H221" s="1" t="s">
        <v>15</v>
      </c>
      <c r="I221" s="1">
        <v>1</v>
      </c>
      <c r="J221" s="1">
        <v>7</v>
      </c>
      <c r="K221" s="1" t="s">
        <v>16</v>
      </c>
      <c r="L221" s="1">
        <v>9</v>
      </c>
      <c r="M221" s="1">
        <v>6</v>
      </c>
      <c r="N221" s="1" t="s">
        <v>17</v>
      </c>
      <c r="O221" s="1">
        <v>2</v>
      </c>
      <c r="P221" s="1">
        <v>4</v>
      </c>
      <c r="S221" s="3">
        <v>17784165</v>
      </c>
    </row>
    <row r="222" spans="1:20" ht="18" hidden="1" customHeight="1" x14ac:dyDescent="0.45">
      <c r="A222" s="1">
        <v>24</v>
      </c>
      <c r="B222" s="1"/>
      <c r="C222" s="1" t="s">
        <v>420</v>
      </c>
      <c r="D222" s="1" t="s">
        <v>28</v>
      </c>
      <c r="E222" s="1" t="s">
        <v>421</v>
      </c>
      <c r="F222" s="1">
        <f>SUM(H222:P222)</f>
        <v>24</v>
      </c>
      <c r="G222" s="1"/>
      <c r="H222" s="1" t="s">
        <v>15</v>
      </c>
      <c r="I222" s="1">
        <v>3</v>
      </c>
      <c r="J222" s="1">
        <v>4</v>
      </c>
      <c r="K222" s="1" t="s">
        <v>16</v>
      </c>
      <c r="L222" s="1">
        <v>1</v>
      </c>
      <c r="M222" s="1">
        <v>3</v>
      </c>
      <c r="N222" s="1" t="s">
        <v>17</v>
      </c>
      <c r="O222" s="1">
        <v>2</v>
      </c>
      <c r="P222" s="1">
        <v>11</v>
      </c>
      <c r="R222" s="1" t="s">
        <v>419</v>
      </c>
      <c r="S222" s="3">
        <v>7870950</v>
      </c>
      <c r="T222" s="1"/>
    </row>
    <row r="223" spans="1:20" ht="18" hidden="1" customHeight="1" x14ac:dyDescent="0.45">
      <c r="A223" s="1">
        <v>222</v>
      </c>
      <c r="C223" s="1" t="s">
        <v>278</v>
      </c>
      <c r="D223" s="1" t="s">
        <v>33</v>
      </c>
      <c r="E223" s="1" t="s">
        <v>254</v>
      </c>
      <c r="F223" s="1">
        <f>SUM(H223:P223)</f>
        <v>29</v>
      </c>
      <c r="G223" s="1">
        <f>COUNTIF(I223:P223,1)</f>
        <v>1</v>
      </c>
      <c r="H223" s="1" t="s">
        <v>15</v>
      </c>
      <c r="I223" s="1">
        <v>3</v>
      </c>
      <c r="J223" s="1">
        <v>5</v>
      </c>
      <c r="K223" s="1" t="s">
        <v>16</v>
      </c>
      <c r="L223" s="1">
        <v>1</v>
      </c>
      <c r="M223" s="1">
        <v>8</v>
      </c>
      <c r="N223" s="1" t="s">
        <v>17</v>
      </c>
      <c r="O223" s="1">
        <v>7</v>
      </c>
      <c r="P223" s="1">
        <v>5</v>
      </c>
      <c r="S223" s="3">
        <v>15194955</v>
      </c>
    </row>
    <row r="224" spans="1:20" ht="18" hidden="1" customHeight="1" x14ac:dyDescent="0.45">
      <c r="A224" s="1">
        <v>223</v>
      </c>
      <c r="C224" s="1" t="s">
        <v>279</v>
      </c>
      <c r="D224" s="1" t="s">
        <v>33</v>
      </c>
      <c r="E224" s="1" t="s">
        <v>256</v>
      </c>
      <c r="F224" s="1">
        <f>SUM(H224:P224)</f>
        <v>18</v>
      </c>
      <c r="G224" s="1">
        <f>COUNTIF(I224:P224,1)</f>
        <v>1</v>
      </c>
      <c r="H224" s="1" t="s">
        <v>15</v>
      </c>
      <c r="I224" s="1">
        <v>1</v>
      </c>
      <c r="J224" s="1">
        <v>2</v>
      </c>
      <c r="K224" s="1" t="s">
        <v>16</v>
      </c>
      <c r="L224" s="1">
        <v>2</v>
      </c>
      <c r="M224" s="1">
        <v>4</v>
      </c>
      <c r="N224" s="1" t="s">
        <v>17</v>
      </c>
      <c r="O224" s="1">
        <v>4</v>
      </c>
      <c r="P224" s="1">
        <v>5</v>
      </c>
      <c r="Q224" s="1">
        <v>1</v>
      </c>
      <c r="S224" s="3">
        <v>813175</v>
      </c>
    </row>
    <row r="225" spans="1:20" ht="18" hidden="1" customHeight="1" x14ac:dyDescent="0.45">
      <c r="A225" s="1">
        <v>224</v>
      </c>
      <c r="C225" s="1" t="s">
        <v>280</v>
      </c>
      <c r="D225" s="1" t="s">
        <v>33</v>
      </c>
      <c r="E225" s="1" t="s">
        <v>258</v>
      </c>
      <c r="F225" s="1">
        <f>SUM(H225:P225)</f>
        <v>29</v>
      </c>
      <c r="G225" s="1"/>
      <c r="H225" s="1" t="s">
        <v>15</v>
      </c>
      <c r="I225" s="1">
        <v>5</v>
      </c>
      <c r="J225" s="1">
        <v>4</v>
      </c>
      <c r="K225" s="1" t="s">
        <v>16</v>
      </c>
      <c r="L225" s="1">
        <v>4</v>
      </c>
      <c r="M225" s="1">
        <v>13</v>
      </c>
      <c r="N225" s="1" t="s">
        <v>17</v>
      </c>
      <c r="O225" s="1">
        <v>1</v>
      </c>
      <c r="P225" s="1">
        <v>2</v>
      </c>
      <c r="T225" s="3">
        <v>14256046</v>
      </c>
    </row>
    <row r="226" spans="1:20" ht="18" hidden="1" customHeight="1" x14ac:dyDescent="0.45">
      <c r="A226" s="1">
        <v>225</v>
      </c>
      <c r="C226" s="1" t="s">
        <v>281</v>
      </c>
      <c r="D226" s="1" t="s">
        <v>33</v>
      </c>
      <c r="E226" s="1" t="s">
        <v>260</v>
      </c>
      <c r="F226" s="1">
        <f>SUM(H226:P226)</f>
        <v>18</v>
      </c>
      <c r="G226" s="1">
        <f>COUNTIF(I226:P226,1)</f>
        <v>1</v>
      </c>
      <c r="H226" s="1" t="s">
        <v>15</v>
      </c>
      <c r="I226" s="1">
        <v>3</v>
      </c>
      <c r="J226" s="1">
        <v>4</v>
      </c>
      <c r="K226" s="1" t="s">
        <v>16</v>
      </c>
      <c r="L226" s="1">
        <v>1</v>
      </c>
      <c r="M226" s="1">
        <v>4</v>
      </c>
      <c r="N226" s="1" t="s">
        <v>17</v>
      </c>
      <c r="O226" s="1">
        <v>2</v>
      </c>
      <c r="P226" s="1">
        <v>4</v>
      </c>
      <c r="S226" s="3">
        <v>382805</v>
      </c>
    </row>
    <row r="227" spans="1:20" ht="18" hidden="1" customHeight="1" x14ac:dyDescent="0.45">
      <c r="A227" s="1">
        <v>226</v>
      </c>
      <c r="C227" s="1" t="s">
        <v>282</v>
      </c>
      <c r="D227" s="1" t="s">
        <v>33</v>
      </c>
      <c r="E227" s="1" t="s">
        <v>262</v>
      </c>
      <c r="F227" s="1">
        <f>SUM(H227:P227)</f>
        <v>23</v>
      </c>
      <c r="G227" s="1"/>
      <c r="H227" s="1" t="s">
        <v>15</v>
      </c>
      <c r="I227" s="1">
        <v>5</v>
      </c>
      <c r="J227" s="1">
        <v>3</v>
      </c>
      <c r="K227" s="1" t="s">
        <v>16</v>
      </c>
      <c r="L227" s="1">
        <v>8</v>
      </c>
      <c r="M227" s="1">
        <v>4</v>
      </c>
      <c r="N227" s="1" t="s">
        <v>17</v>
      </c>
      <c r="O227" s="1">
        <v>2</v>
      </c>
      <c r="P227" s="1">
        <v>1</v>
      </c>
      <c r="S227" s="3">
        <v>14440870</v>
      </c>
    </row>
    <row r="228" spans="1:20" ht="18" customHeight="1" x14ac:dyDescent="0.45">
      <c r="A228" s="1">
        <v>227</v>
      </c>
      <c r="C228" s="1" t="s">
        <v>283</v>
      </c>
      <c r="D228" s="1" t="s">
        <v>25</v>
      </c>
      <c r="E228" s="1" t="s">
        <v>284</v>
      </c>
      <c r="F228" s="1">
        <f>SUM(H228:P228)</f>
        <v>20</v>
      </c>
      <c r="G228" s="1">
        <f>COUNTIF(I228:P228,1)</f>
        <v>1</v>
      </c>
      <c r="H228" s="1" t="s">
        <v>15</v>
      </c>
      <c r="I228" s="1">
        <v>1</v>
      </c>
      <c r="J228" s="1">
        <v>7</v>
      </c>
      <c r="K228" s="1" t="s">
        <v>16</v>
      </c>
      <c r="L228" s="1">
        <v>4</v>
      </c>
      <c r="M228" s="1">
        <v>2</v>
      </c>
      <c r="N228" s="1" t="s">
        <v>17</v>
      </c>
      <c r="O228" s="1">
        <v>2</v>
      </c>
      <c r="P228" s="1">
        <v>4</v>
      </c>
      <c r="S228" s="2">
        <v>896775</v>
      </c>
      <c r="T228" s="2"/>
    </row>
    <row r="229" spans="1:20" ht="18" customHeight="1" x14ac:dyDescent="0.45">
      <c r="A229" s="1">
        <v>228</v>
      </c>
      <c r="C229" s="1" t="s">
        <v>285</v>
      </c>
      <c r="D229" s="1" t="s">
        <v>25</v>
      </c>
      <c r="E229" s="1" t="s">
        <v>286</v>
      </c>
      <c r="F229" s="1">
        <f>SUM(H229:P229)</f>
        <v>21</v>
      </c>
      <c r="G229" s="1"/>
      <c r="H229" s="1" t="s">
        <v>15</v>
      </c>
      <c r="I229" s="1">
        <v>1</v>
      </c>
      <c r="J229" s="1">
        <v>2</v>
      </c>
      <c r="K229" s="1" t="s">
        <v>16</v>
      </c>
      <c r="L229" s="1">
        <v>1</v>
      </c>
      <c r="M229" s="1">
        <v>10</v>
      </c>
      <c r="N229" s="1" t="s">
        <v>17</v>
      </c>
      <c r="O229" s="1">
        <v>2</v>
      </c>
      <c r="P229" s="1">
        <v>5</v>
      </c>
      <c r="S229" s="2">
        <v>7449140</v>
      </c>
      <c r="T229" s="2"/>
    </row>
    <row r="230" spans="1:20" ht="18" customHeight="1" x14ac:dyDescent="0.45">
      <c r="A230" s="1">
        <v>229</v>
      </c>
      <c r="C230" s="1" t="s">
        <v>287</v>
      </c>
      <c r="D230" s="1" t="s">
        <v>25</v>
      </c>
      <c r="E230" s="1" t="s">
        <v>288</v>
      </c>
      <c r="F230" s="1">
        <f>SUM(H230:P230)</f>
        <v>14</v>
      </c>
      <c r="G230" s="1">
        <f>COUNTIF(I230:P230,1)</f>
        <v>2</v>
      </c>
      <c r="H230" s="1" t="s">
        <v>15</v>
      </c>
      <c r="I230" s="1">
        <v>2</v>
      </c>
      <c r="J230" s="1">
        <v>1</v>
      </c>
      <c r="K230" s="1" t="s">
        <v>16</v>
      </c>
      <c r="L230" s="1">
        <v>1</v>
      </c>
      <c r="M230" s="1">
        <v>3</v>
      </c>
      <c r="N230" s="1" t="s">
        <v>17</v>
      </c>
      <c r="O230" s="1">
        <v>3</v>
      </c>
      <c r="P230" s="1">
        <v>4</v>
      </c>
      <c r="S230" s="2">
        <v>161125</v>
      </c>
      <c r="T230" s="2"/>
    </row>
    <row r="231" spans="1:20" ht="18" customHeight="1" x14ac:dyDescent="0.45">
      <c r="A231" s="1">
        <v>230</v>
      </c>
      <c r="B231">
        <v>1</v>
      </c>
      <c r="C231" s="1" t="s">
        <v>289</v>
      </c>
      <c r="D231" s="1" t="s">
        <v>25</v>
      </c>
      <c r="E231" s="1" t="s">
        <v>23</v>
      </c>
      <c r="F231" s="1">
        <f>SUM(H231:P231)</f>
        <v>12</v>
      </c>
      <c r="G231" s="1"/>
      <c r="H231" s="1" t="s">
        <v>15</v>
      </c>
      <c r="I231" s="1">
        <v>4</v>
      </c>
      <c r="J231" s="1">
        <v>2</v>
      </c>
      <c r="K231" s="1" t="s">
        <v>16</v>
      </c>
      <c r="L231" s="1">
        <v>1</v>
      </c>
      <c r="M231" s="1">
        <v>2</v>
      </c>
      <c r="N231" s="1" t="s">
        <v>17</v>
      </c>
      <c r="O231" s="1">
        <v>1</v>
      </c>
      <c r="P231" s="1">
        <v>2</v>
      </c>
      <c r="Q231" s="1">
        <v>1</v>
      </c>
      <c r="S231" s="2">
        <v>205785</v>
      </c>
      <c r="T231" s="2"/>
    </row>
    <row r="232" spans="1:20" ht="18" customHeight="1" x14ac:dyDescent="0.45">
      <c r="A232" s="1">
        <v>231</v>
      </c>
      <c r="C232" s="1" t="s">
        <v>290</v>
      </c>
      <c r="D232" s="1" t="s">
        <v>25</v>
      </c>
      <c r="E232" s="1" t="s">
        <v>291</v>
      </c>
      <c r="F232" s="1">
        <f>SUM(H232:P232)</f>
        <v>35</v>
      </c>
      <c r="G232" s="1"/>
      <c r="H232" s="1" t="s">
        <v>15</v>
      </c>
      <c r="I232" s="1">
        <v>5</v>
      </c>
      <c r="J232" s="1">
        <v>9</v>
      </c>
      <c r="K232" s="1" t="s">
        <v>16</v>
      </c>
      <c r="L232" s="1">
        <v>5</v>
      </c>
      <c r="M232" s="1">
        <v>6</v>
      </c>
      <c r="N232" s="1" t="s">
        <v>17</v>
      </c>
      <c r="O232" s="1">
        <v>3</v>
      </c>
      <c r="P232" s="1">
        <v>7</v>
      </c>
      <c r="S232" s="2"/>
      <c r="T232" s="2">
        <v>6889491</v>
      </c>
    </row>
    <row r="233" spans="1:20" ht="18" hidden="1" customHeight="1" x14ac:dyDescent="0.45">
      <c r="A233" s="1">
        <v>232</v>
      </c>
      <c r="C233" s="1" t="s">
        <v>292</v>
      </c>
      <c r="D233" s="1" t="s">
        <v>33</v>
      </c>
      <c r="E233" s="1" t="s">
        <v>284</v>
      </c>
      <c r="F233" s="1">
        <f>SUM(H233:P233)</f>
        <v>24</v>
      </c>
      <c r="G233" s="1"/>
      <c r="H233" s="1" t="s">
        <v>15</v>
      </c>
      <c r="I233" s="1">
        <v>1</v>
      </c>
      <c r="J233" s="1">
        <v>7</v>
      </c>
      <c r="K233" s="1" t="s">
        <v>16</v>
      </c>
      <c r="L233" s="1">
        <v>1</v>
      </c>
      <c r="M233" s="1">
        <v>3</v>
      </c>
      <c r="N233" s="1" t="s">
        <v>17</v>
      </c>
      <c r="O233" s="1">
        <v>11</v>
      </c>
      <c r="P233" s="1">
        <v>1</v>
      </c>
      <c r="S233" s="3">
        <v>15993990</v>
      </c>
    </row>
    <row r="234" spans="1:20" ht="18" hidden="1" customHeight="1" x14ac:dyDescent="0.45">
      <c r="A234" s="1">
        <v>233</v>
      </c>
      <c r="C234" s="1" t="s">
        <v>22</v>
      </c>
      <c r="D234" s="1" t="s">
        <v>33</v>
      </c>
      <c r="E234" s="1" t="s">
        <v>286</v>
      </c>
      <c r="F234" s="1">
        <f>SUM(H234:P234)</f>
        <v>17</v>
      </c>
      <c r="G234" s="1"/>
      <c r="H234" s="1" t="s">
        <v>15</v>
      </c>
      <c r="I234" s="1">
        <v>1</v>
      </c>
      <c r="J234" s="1">
        <v>2</v>
      </c>
      <c r="K234" s="1" t="s">
        <v>16</v>
      </c>
      <c r="L234" s="1">
        <v>1</v>
      </c>
      <c r="M234" s="1">
        <v>5</v>
      </c>
      <c r="N234" s="1" t="s">
        <v>17</v>
      </c>
      <c r="O234" s="1">
        <v>6</v>
      </c>
      <c r="P234" s="1">
        <v>2</v>
      </c>
      <c r="S234" s="3">
        <v>2247875</v>
      </c>
    </row>
    <row r="235" spans="1:20" ht="18" hidden="1" customHeight="1" x14ac:dyDescent="0.45">
      <c r="A235" s="1">
        <v>234</v>
      </c>
      <c r="C235" s="1" t="s">
        <v>293</v>
      </c>
      <c r="D235" s="1" t="s">
        <v>33</v>
      </c>
      <c r="E235" s="1" t="s">
        <v>288</v>
      </c>
      <c r="F235" s="1">
        <f>SUM(H235:P235)</f>
        <v>12</v>
      </c>
      <c r="G235" s="1"/>
      <c r="H235" s="1" t="s">
        <v>15</v>
      </c>
      <c r="I235" s="1">
        <v>2</v>
      </c>
      <c r="J235" s="1">
        <v>1</v>
      </c>
      <c r="K235" s="1" t="s">
        <v>16</v>
      </c>
      <c r="L235" s="1">
        <v>4</v>
      </c>
      <c r="M235" s="1">
        <v>2</v>
      </c>
      <c r="N235" s="1" t="s">
        <v>17</v>
      </c>
      <c r="O235" s="1">
        <v>1</v>
      </c>
      <c r="P235" s="1">
        <v>2</v>
      </c>
      <c r="S235" s="3">
        <v>179635</v>
      </c>
    </row>
    <row r="236" spans="1:20" ht="18" customHeight="1" x14ac:dyDescent="0.45">
      <c r="A236" s="1">
        <v>251</v>
      </c>
      <c r="C236" s="1" t="s">
        <v>315</v>
      </c>
      <c r="D236" s="1" t="s">
        <v>25</v>
      </c>
      <c r="E236" s="1" t="s">
        <v>97</v>
      </c>
      <c r="F236" s="1">
        <f>SUM(H236:P236)</f>
        <v>15</v>
      </c>
      <c r="G236" s="1">
        <f>COUNTIF(I236:P236,1)</f>
        <v>3</v>
      </c>
      <c r="H236" s="1" t="s">
        <v>15</v>
      </c>
      <c r="I236" s="1">
        <v>1</v>
      </c>
      <c r="J236" s="1">
        <v>2</v>
      </c>
      <c r="K236" s="1" t="s">
        <v>16</v>
      </c>
      <c r="L236" s="1">
        <v>2</v>
      </c>
      <c r="M236" s="1">
        <v>1</v>
      </c>
      <c r="N236" s="1" t="s">
        <v>17</v>
      </c>
      <c r="O236" s="1">
        <v>1</v>
      </c>
      <c r="P236" s="1">
        <v>8</v>
      </c>
      <c r="S236" s="2">
        <v>1470430</v>
      </c>
      <c r="T236" s="2"/>
    </row>
    <row r="237" spans="1:20" ht="18" hidden="1" customHeight="1" x14ac:dyDescent="0.45">
      <c r="A237" s="1">
        <v>236</v>
      </c>
      <c r="C237" s="1" t="s">
        <v>295</v>
      </c>
      <c r="D237" s="1" t="s">
        <v>33</v>
      </c>
      <c r="E237" s="1" t="s">
        <v>291</v>
      </c>
      <c r="F237" s="1">
        <f>SUM(H237:P237)</f>
        <v>32</v>
      </c>
      <c r="G237" s="1"/>
      <c r="H237" s="1" t="s">
        <v>15</v>
      </c>
      <c r="I237" s="1">
        <v>1</v>
      </c>
      <c r="J237" s="1">
        <v>2</v>
      </c>
      <c r="K237" s="1" t="s">
        <v>16</v>
      </c>
      <c r="L237" s="1">
        <v>10</v>
      </c>
      <c r="M237" s="1">
        <v>8</v>
      </c>
      <c r="N237" s="1" t="s">
        <v>17</v>
      </c>
      <c r="O237" s="1">
        <v>5</v>
      </c>
      <c r="P237" s="1">
        <v>6</v>
      </c>
      <c r="T237" s="3">
        <v>14928333</v>
      </c>
    </row>
    <row r="238" spans="1:20" ht="18" hidden="1" customHeight="1" x14ac:dyDescent="0.45">
      <c r="A238" s="1">
        <v>198</v>
      </c>
      <c r="C238" s="1" t="s">
        <v>249</v>
      </c>
      <c r="D238" s="1" t="s">
        <v>28</v>
      </c>
      <c r="E238" s="1" t="s">
        <v>26</v>
      </c>
      <c r="F238" s="1">
        <f>SUM(H238:P238)</f>
        <v>27</v>
      </c>
      <c r="G238" s="1"/>
      <c r="H238" s="1" t="s">
        <v>15</v>
      </c>
      <c r="I238" s="1">
        <v>3</v>
      </c>
      <c r="J238" s="1">
        <v>4</v>
      </c>
      <c r="K238" s="1" t="s">
        <v>16</v>
      </c>
      <c r="L238" s="1">
        <v>3</v>
      </c>
      <c r="M238" s="1">
        <v>1</v>
      </c>
      <c r="N238" s="1" t="s">
        <v>17</v>
      </c>
      <c r="O238" s="1">
        <v>3</v>
      </c>
      <c r="P238" s="1">
        <v>13</v>
      </c>
      <c r="T238" s="3">
        <v>9827237</v>
      </c>
    </row>
    <row r="239" spans="1:20" ht="18" hidden="1" customHeight="1" x14ac:dyDescent="0.45">
      <c r="A239" s="1">
        <v>238</v>
      </c>
      <c r="C239" s="1" t="s">
        <v>297</v>
      </c>
      <c r="D239" s="1" t="s">
        <v>59</v>
      </c>
      <c r="E239" s="1" t="s">
        <v>288</v>
      </c>
      <c r="F239" s="1">
        <f>SUM(H239:P239)</f>
        <v>22</v>
      </c>
      <c r="G239" s="1"/>
      <c r="H239" s="1" t="s">
        <v>15</v>
      </c>
      <c r="I239" s="1">
        <v>3</v>
      </c>
      <c r="J239" s="1">
        <v>1</v>
      </c>
      <c r="K239" s="1" t="s">
        <v>16</v>
      </c>
      <c r="L239" s="1">
        <v>3</v>
      </c>
      <c r="M239" s="1">
        <v>6</v>
      </c>
      <c r="N239" s="1" t="s">
        <v>17</v>
      </c>
      <c r="O239" s="1">
        <v>6</v>
      </c>
      <c r="P239" s="1">
        <v>3</v>
      </c>
      <c r="Q239" s="1">
        <v>1</v>
      </c>
      <c r="S239" s="3">
        <v>45191915</v>
      </c>
    </row>
    <row r="240" spans="1:20" ht="18" hidden="1" customHeight="1" x14ac:dyDescent="0.45">
      <c r="A240" s="1">
        <v>199</v>
      </c>
      <c r="C240" s="1" t="s">
        <v>250</v>
      </c>
      <c r="D240" s="1" t="s">
        <v>28</v>
      </c>
      <c r="E240" s="1" t="s">
        <v>233</v>
      </c>
      <c r="F240" s="1">
        <f>SUM(H240:P240)</f>
        <v>26</v>
      </c>
      <c r="G240" s="1"/>
      <c r="H240" s="1" t="s">
        <v>15</v>
      </c>
      <c r="I240" s="1">
        <v>1</v>
      </c>
      <c r="J240" s="1">
        <v>2</v>
      </c>
      <c r="K240" s="1" t="s">
        <v>16</v>
      </c>
      <c r="L240" s="1">
        <v>1</v>
      </c>
      <c r="M240" s="1">
        <v>3</v>
      </c>
      <c r="N240" s="1" t="s">
        <v>17</v>
      </c>
      <c r="O240" s="1">
        <v>7</v>
      </c>
      <c r="P240" s="1">
        <v>12</v>
      </c>
      <c r="S240" s="3">
        <v>2833035</v>
      </c>
    </row>
    <row r="241" spans="1:20" ht="18" hidden="1" customHeight="1" x14ac:dyDescent="0.45">
      <c r="A241" s="1">
        <v>240</v>
      </c>
      <c r="C241" s="1" t="s">
        <v>299</v>
      </c>
      <c r="D241" s="1" t="s">
        <v>59</v>
      </c>
      <c r="E241" s="1" t="s">
        <v>291</v>
      </c>
      <c r="F241" s="1">
        <f>SUM(H241:P241)</f>
        <v>24</v>
      </c>
      <c r="G241" s="1"/>
      <c r="H241" s="1" t="s">
        <v>15</v>
      </c>
      <c r="I241" s="1">
        <v>1</v>
      </c>
      <c r="J241" s="1">
        <v>2</v>
      </c>
      <c r="K241" s="1" t="s">
        <v>16</v>
      </c>
      <c r="L241" s="1">
        <v>6</v>
      </c>
      <c r="M241" s="1">
        <v>10</v>
      </c>
      <c r="N241" s="1" t="s">
        <v>17</v>
      </c>
      <c r="O241" s="1">
        <v>4</v>
      </c>
      <c r="P241" s="1">
        <v>1</v>
      </c>
      <c r="T241" s="3">
        <v>14575218</v>
      </c>
    </row>
    <row r="242" spans="1:20" ht="18" hidden="1" customHeight="1" x14ac:dyDescent="0.45">
      <c r="A242" s="1">
        <v>241</v>
      </c>
      <c r="C242" s="1" t="s">
        <v>300</v>
      </c>
      <c r="D242" s="1" t="s">
        <v>28</v>
      </c>
      <c r="E242" s="1" t="s">
        <v>286</v>
      </c>
      <c r="F242" s="1">
        <f>SUM(H242:P242)</f>
        <v>22</v>
      </c>
      <c r="G242" s="1"/>
      <c r="H242" s="1" t="s">
        <v>15</v>
      </c>
      <c r="I242" s="1">
        <v>7</v>
      </c>
      <c r="J242" s="1">
        <v>1</v>
      </c>
      <c r="K242" s="1" t="s">
        <v>16</v>
      </c>
      <c r="L242" s="1">
        <v>3</v>
      </c>
      <c r="M242" s="1">
        <v>6</v>
      </c>
      <c r="N242" s="1" t="s">
        <v>17</v>
      </c>
      <c r="O242" s="1">
        <v>3</v>
      </c>
      <c r="P242" s="1">
        <v>2</v>
      </c>
      <c r="Q242" s="1">
        <v>1</v>
      </c>
      <c r="S242" s="3">
        <v>15628975</v>
      </c>
    </row>
    <row r="243" spans="1:20" ht="18" hidden="1" customHeight="1" x14ac:dyDescent="0.45">
      <c r="A243" s="1">
        <v>221</v>
      </c>
      <c r="C243" s="1" t="s">
        <v>277</v>
      </c>
      <c r="D243" s="1" t="s">
        <v>28</v>
      </c>
      <c r="E243" s="1" t="s">
        <v>262</v>
      </c>
      <c r="F243" s="1">
        <f>SUM(H243:P243)</f>
        <v>26</v>
      </c>
      <c r="G243" s="1"/>
      <c r="H243" s="1" t="s">
        <v>15</v>
      </c>
      <c r="I243" s="1">
        <v>1</v>
      </c>
      <c r="J243" s="1">
        <v>2</v>
      </c>
      <c r="K243" s="1" t="s">
        <v>16</v>
      </c>
      <c r="L243" s="1">
        <v>2</v>
      </c>
      <c r="M243" s="1">
        <v>5</v>
      </c>
      <c r="N243" s="1" t="s">
        <v>17</v>
      </c>
      <c r="O243" s="1">
        <v>4</v>
      </c>
      <c r="P243" s="1">
        <v>12</v>
      </c>
      <c r="S243" s="3">
        <v>6533935</v>
      </c>
    </row>
    <row r="244" spans="1:20" ht="18" hidden="1" customHeight="1" x14ac:dyDescent="0.45">
      <c r="A244" s="1">
        <v>243</v>
      </c>
      <c r="C244" s="1" t="s">
        <v>302</v>
      </c>
      <c r="D244" s="1" t="s">
        <v>28</v>
      </c>
      <c r="E244" s="1" t="s">
        <v>23</v>
      </c>
      <c r="F244" s="1">
        <f>SUM(H244:P244)</f>
        <v>13</v>
      </c>
      <c r="G244" s="1"/>
      <c r="H244" s="1" t="s">
        <v>15</v>
      </c>
      <c r="I244" s="1">
        <v>1</v>
      </c>
      <c r="J244" s="1">
        <v>3</v>
      </c>
      <c r="K244" s="1" t="s">
        <v>16</v>
      </c>
      <c r="L244" s="1">
        <v>1</v>
      </c>
      <c r="M244" s="1">
        <v>5</v>
      </c>
      <c r="N244" s="1" t="s">
        <v>17</v>
      </c>
      <c r="O244" s="1">
        <v>2</v>
      </c>
      <c r="P244" s="1">
        <v>1</v>
      </c>
      <c r="S244" s="3">
        <v>25510</v>
      </c>
    </row>
    <row r="245" spans="1:20" ht="18" hidden="1" customHeight="1" x14ac:dyDescent="0.45">
      <c r="A245" s="1">
        <v>244</v>
      </c>
      <c r="C245" s="1" t="s">
        <v>303</v>
      </c>
      <c r="D245" s="1" t="s">
        <v>28</v>
      </c>
      <c r="E245" s="1" t="s">
        <v>291</v>
      </c>
      <c r="F245" s="1">
        <f>SUM(H245:P245)</f>
        <v>13</v>
      </c>
      <c r="G245" s="1"/>
      <c r="H245" s="1" t="s">
        <v>15</v>
      </c>
      <c r="I245" s="1">
        <v>2</v>
      </c>
      <c r="J245" s="1">
        <v>3</v>
      </c>
      <c r="K245" s="1" t="s">
        <v>16</v>
      </c>
      <c r="L245" s="1">
        <v>1</v>
      </c>
      <c r="M245" s="1">
        <v>4</v>
      </c>
      <c r="N245" s="1" t="s">
        <v>17</v>
      </c>
      <c r="O245" s="1">
        <v>1</v>
      </c>
      <c r="P245" s="1">
        <v>2</v>
      </c>
      <c r="S245" s="3">
        <v>44480</v>
      </c>
    </row>
    <row r="246" spans="1:20" ht="18" hidden="1" customHeight="1" x14ac:dyDescent="0.45">
      <c r="A246" s="1">
        <v>245</v>
      </c>
      <c r="C246" s="1" t="s">
        <v>304</v>
      </c>
      <c r="D246" s="1" t="s">
        <v>28</v>
      </c>
      <c r="E246" s="1" t="s">
        <v>53</v>
      </c>
      <c r="F246" s="1">
        <f>SUM(H246:P246)</f>
        <v>18</v>
      </c>
      <c r="G246" s="1"/>
      <c r="H246" s="1" t="s">
        <v>15</v>
      </c>
      <c r="I246" s="1">
        <v>4</v>
      </c>
      <c r="J246" s="1">
        <v>6</v>
      </c>
      <c r="K246" s="1" t="s">
        <v>16</v>
      </c>
      <c r="L246" s="1">
        <v>3</v>
      </c>
      <c r="M246" s="1">
        <v>1</v>
      </c>
      <c r="N246" s="1" t="s">
        <v>17</v>
      </c>
      <c r="O246" s="1">
        <v>1</v>
      </c>
      <c r="P246" s="1">
        <v>3</v>
      </c>
      <c r="Q246" s="1">
        <v>1</v>
      </c>
      <c r="S246" s="3">
        <v>11583805</v>
      </c>
    </row>
    <row r="247" spans="1:20" ht="18" hidden="1" customHeight="1" x14ac:dyDescent="0.45">
      <c r="A247" s="1">
        <v>246</v>
      </c>
      <c r="C247" s="1" t="s">
        <v>305</v>
      </c>
      <c r="D247" s="1" t="s">
        <v>33</v>
      </c>
      <c r="E247" s="1" t="s">
        <v>306</v>
      </c>
      <c r="F247" s="1">
        <f>SUM(H247:P247)</f>
        <v>18</v>
      </c>
      <c r="G247" s="1"/>
      <c r="H247" s="1" t="s">
        <v>15</v>
      </c>
      <c r="I247" s="1">
        <v>2</v>
      </c>
      <c r="J247" s="1">
        <v>4</v>
      </c>
      <c r="K247" s="1" t="s">
        <v>16</v>
      </c>
      <c r="L247" s="1">
        <v>8</v>
      </c>
      <c r="M247" s="1">
        <v>1</v>
      </c>
      <c r="N247" s="1" t="s">
        <v>17</v>
      </c>
      <c r="O247" s="1">
        <v>2</v>
      </c>
      <c r="P247" s="1">
        <v>1</v>
      </c>
      <c r="S247" s="3">
        <v>1261085</v>
      </c>
    </row>
    <row r="248" spans="1:20" ht="18" hidden="1" customHeight="1" x14ac:dyDescent="0.45">
      <c r="A248" s="1">
        <v>247</v>
      </c>
      <c r="C248" s="1" t="s">
        <v>307</v>
      </c>
      <c r="D248" s="1" t="s">
        <v>33</v>
      </c>
      <c r="E248" s="1" t="s">
        <v>308</v>
      </c>
      <c r="F248" s="1">
        <f>SUM(H248:P248)</f>
        <v>17</v>
      </c>
      <c r="G248" s="1">
        <f>COUNTIF(I248:P248,1)</f>
        <v>2</v>
      </c>
      <c r="H248" s="1" t="s">
        <v>15</v>
      </c>
      <c r="I248" s="1">
        <v>1</v>
      </c>
      <c r="J248" s="1">
        <v>2</v>
      </c>
      <c r="K248" s="1" t="s">
        <v>16</v>
      </c>
      <c r="L248" s="1">
        <v>1</v>
      </c>
      <c r="M248" s="1">
        <v>6</v>
      </c>
      <c r="N248" s="1" t="s">
        <v>17</v>
      </c>
      <c r="O248" s="1">
        <v>2</v>
      </c>
      <c r="P248" s="1">
        <v>5</v>
      </c>
      <c r="S248" s="3">
        <v>1053165</v>
      </c>
    </row>
    <row r="249" spans="1:20" ht="18" hidden="1" customHeight="1" x14ac:dyDescent="0.45">
      <c r="A249" s="1">
        <v>248</v>
      </c>
      <c r="C249" s="1" t="s">
        <v>309</v>
      </c>
      <c r="D249" s="1" t="s">
        <v>33</v>
      </c>
      <c r="E249" s="1" t="s">
        <v>310</v>
      </c>
      <c r="F249" s="1">
        <f>SUM(H249:P249)</f>
        <v>22</v>
      </c>
      <c r="G249" s="1">
        <f>COUNTIF(I249:P249,1)</f>
        <v>3</v>
      </c>
      <c r="H249" s="1" t="s">
        <v>15</v>
      </c>
      <c r="I249" s="1">
        <v>1</v>
      </c>
      <c r="J249" s="1">
        <v>8</v>
      </c>
      <c r="K249" s="1" t="s">
        <v>16</v>
      </c>
      <c r="L249" s="1">
        <v>1</v>
      </c>
      <c r="M249" s="1">
        <v>6</v>
      </c>
      <c r="N249" s="1" t="s">
        <v>17</v>
      </c>
      <c r="O249" s="1">
        <v>1</v>
      </c>
      <c r="P249" s="1">
        <v>5</v>
      </c>
      <c r="Q249" s="1">
        <v>1</v>
      </c>
      <c r="S249" s="3">
        <v>2334505</v>
      </c>
    </row>
    <row r="250" spans="1:20" ht="18" hidden="1" customHeight="1" x14ac:dyDescent="0.45">
      <c r="A250" s="1">
        <v>242</v>
      </c>
      <c r="C250" s="1" t="s">
        <v>301</v>
      </c>
      <c r="D250" s="1" t="s">
        <v>28</v>
      </c>
      <c r="E250" s="1" t="s">
        <v>288</v>
      </c>
      <c r="F250" s="1">
        <f>SUM(H250:P250)</f>
        <v>34</v>
      </c>
      <c r="G250" s="1"/>
      <c r="H250" s="1" t="s">
        <v>15</v>
      </c>
      <c r="I250" s="1">
        <v>5</v>
      </c>
      <c r="J250" s="1">
        <v>9</v>
      </c>
      <c r="K250" s="1" t="s">
        <v>16</v>
      </c>
      <c r="L250" s="1">
        <v>2</v>
      </c>
      <c r="M250" s="1">
        <v>1</v>
      </c>
      <c r="N250" s="1" t="s">
        <v>17</v>
      </c>
      <c r="O250" s="1">
        <v>7</v>
      </c>
      <c r="P250" s="1">
        <v>10</v>
      </c>
      <c r="T250" s="3">
        <v>12823167</v>
      </c>
    </row>
    <row r="251" spans="1:20" ht="18" hidden="1" customHeight="1" x14ac:dyDescent="0.45">
      <c r="A251" s="1">
        <v>250</v>
      </c>
      <c r="C251" s="1" t="s">
        <v>313</v>
      </c>
      <c r="D251" s="1" t="s">
        <v>33</v>
      </c>
      <c r="E251" s="1" t="s">
        <v>314</v>
      </c>
      <c r="F251" s="1">
        <f>SUM(H251:P251)</f>
        <v>15</v>
      </c>
      <c r="G251" s="1">
        <f>COUNTIF(I251:P251,1)</f>
        <v>2</v>
      </c>
      <c r="H251" s="1" t="s">
        <v>15</v>
      </c>
      <c r="I251" s="1">
        <v>1</v>
      </c>
      <c r="J251" s="1">
        <v>3</v>
      </c>
      <c r="K251" s="1" t="s">
        <v>16</v>
      </c>
      <c r="L251" s="1">
        <v>3</v>
      </c>
      <c r="M251" s="1">
        <v>1</v>
      </c>
      <c r="N251" s="1" t="s">
        <v>17</v>
      </c>
      <c r="O251" s="1">
        <v>3</v>
      </c>
      <c r="P251" s="1">
        <v>4</v>
      </c>
      <c r="S251" s="3">
        <v>199635</v>
      </c>
    </row>
    <row r="252" spans="1:20" ht="18" customHeight="1" x14ac:dyDescent="0.45">
      <c r="A252" s="1">
        <v>65</v>
      </c>
      <c r="C252" s="1" t="s">
        <v>84</v>
      </c>
      <c r="D252" s="1" t="s">
        <v>25</v>
      </c>
      <c r="E252" s="1" t="s">
        <v>85</v>
      </c>
      <c r="F252" s="1">
        <f>SUM(H252:P252)</f>
        <v>20</v>
      </c>
      <c r="G252" s="1">
        <f>COUNTIF(I252:P252,1)</f>
        <v>1</v>
      </c>
      <c r="H252" s="1" t="s">
        <v>15</v>
      </c>
      <c r="I252" s="1">
        <v>2</v>
      </c>
      <c r="J252" s="1">
        <v>5</v>
      </c>
      <c r="K252" s="1" t="s">
        <v>16</v>
      </c>
      <c r="L252" s="1">
        <v>2</v>
      </c>
      <c r="M252" s="1">
        <v>3</v>
      </c>
      <c r="N252" s="1" t="s">
        <v>17</v>
      </c>
      <c r="O252" s="1">
        <v>1</v>
      </c>
      <c r="P252" s="1">
        <v>7</v>
      </c>
      <c r="S252" s="2">
        <v>1871680</v>
      </c>
      <c r="T252" s="2"/>
    </row>
    <row r="253" spans="1:20" ht="18" hidden="1" customHeight="1" x14ac:dyDescent="0.45">
      <c r="A253" s="1">
        <v>82</v>
      </c>
      <c r="C253" s="1" t="s">
        <v>27</v>
      </c>
      <c r="D253" s="1" t="s">
        <v>28</v>
      </c>
      <c r="E253" s="1" t="s">
        <v>29</v>
      </c>
      <c r="F253" s="1">
        <f>SUM(H253:P253)</f>
        <v>12</v>
      </c>
      <c r="G253" s="1"/>
      <c r="H253" s="1" t="s">
        <v>15</v>
      </c>
      <c r="I253" s="1">
        <v>1</v>
      </c>
      <c r="J253" s="1">
        <v>3</v>
      </c>
      <c r="K253" s="1" t="s">
        <v>16</v>
      </c>
      <c r="L253" s="1">
        <v>2</v>
      </c>
      <c r="M253" s="1">
        <v>3</v>
      </c>
      <c r="N253" s="1" t="s">
        <v>17</v>
      </c>
      <c r="O253" s="1">
        <v>1</v>
      </c>
      <c r="P253" s="1">
        <v>2</v>
      </c>
      <c r="S253" s="3">
        <v>157070</v>
      </c>
    </row>
    <row r="254" spans="1:20" ht="18" customHeight="1" x14ac:dyDescent="0.45">
      <c r="A254" s="1">
        <v>253</v>
      </c>
      <c r="C254" s="1" t="s">
        <v>317</v>
      </c>
      <c r="D254" s="1" t="s">
        <v>25</v>
      </c>
      <c r="E254" s="1" t="s">
        <v>105</v>
      </c>
      <c r="F254" s="1">
        <f>SUM(H254:P254)</f>
        <v>32</v>
      </c>
      <c r="G254" s="1"/>
      <c r="H254" s="1" t="s">
        <v>15</v>
      </c>
      <c r="I254" s="1">
        <v>3</v>
      </c>
      <c r="J254" s="1">
        <v>5</v>
      </c>
      <c r="K254" s="1" t="s">
        <v>16</v>
      </c>
      <c r="L254" s="1">
        <v>3</v>
      </c>
      <c r="M254" s="1">
        <v>6</v>
      </c>
      <c r="N254" s="1" t="s">
        <v>17</v>
      </c>
      <c r="O254" s="1">
        <v>12</v>
      </c>
      <c r="P254" s="1">
        <v>3</v>
      </c>
      <c r="Q254" s="1">
        <v>1</v>
      </c>
      <c r="S254" s="2"/>
      <c r="T254" s="2">
        <v>35482643</v>
      </c>
    </row>
    <row r="255" spans="1:20" ht="18" customHeight="1" x14ac:dyDescent="0.45">
      <c r="A255" s="1">
        <v>254</v>
      </c>
      <c r="C255" s="1" t="s">
        <v>318</v>
      </c>
      <c r="D255" s="1" t="s">
        <v>25</v>
      </c>
      <c r="E255" s="1" t="s">
        <v>108</v>
      </c>
      <c r="F255" s="1">
        <f>SUM(H255:P255)</f>
        <v>25</v>
      </c>
      <c r="G255" s="1">
        <f>COUNTIF(I255:P255,1)</f>
        <v>2</v>
      </c>
      <c r="H255" s="1" t="s">
        <v>15</v>
      </c>
      <c r="I255" s="1">
        <v>8</v>
      </c>
      <c r="J255" s="1">
        <v>5</v>
      </c>
      <c r="K255" s="1" t="s">
        <v>16</v>
      </c>
      <c r="L255" s="1">
        <v>6</v>
      </c>
      <c r="M255" s="1">
        <v>1</v>
      </c>
      <c r="N255" s="1" t="s">
        <v>17</v>
      </c>
      <c r="O255" s="1">
        <v>1</v>
      </c>
      <c r="P255" s="1">
        <v>4</v>
      </c>
      <c r="S255" s="2"/>
      <c r="T255" s="2">
        <v>8154678</v>
      </c>
    </row>
    <row r="256" spans="1:20" ht="18" hidden="1" customHeight="1" x14ac:dyDescent="0.45">
      <c r="A256" s="1">
        <v>255</v>
      </c>
      <c r="C256" s="1" t="s">
        <v>319</v>
      </c>
      <c r="D256" s="1" t="s">
        <v>28</v>
      </c>
      <c r="E256" s="1" t="s">
        <v>75</v>
      </c>
      <c r="F256" s="1">
        <f>SUM(H256:P256)</f>
        <v>24</v>
      </c>
      <c r="G256" s="1"/>
      <c r="H256" s="1" t="s">
        <v>15</v>
      </c>
      <c r="I256" s="1">
        <v>4</v>
      </c>
      <c r="J256" s="1">
        <v>9</v>
      </c>
      <c r="K256" s="1" t="s">
        <v>16</v>
      </c>
      <c r="L256" s="1">
        <v>4</v>
      </c>
      <c r="M256" s="1">
        <v>2</v>
      </c>
      <c r="N256" s="1" t="s">
        <v>17</v>
      </c>
      <c r="O256" s="1">
        <v>2</v>
      </c>
      <c r="P256" s="1">
        <v>3</v>
      </c>
      <c r="T256" s="3">
        <v>9289329</v>
      </c>
    </row>
    <row r="257" spans="1:20" ht="18" hidden="1" customHeight="1" x14ac:dyDescent="0.45">
      <c r="A257" s="1">
        <v>256</v>
      </c>
      <c r="C257" s="1" t="s">
        <v>319</v>
      </c>
      <c r="D257" s="1" t="s">
        <v>33</v>
      </c>
      <c r="E257" s="1" t="s">
        <v>320</v>
      </c>
      <c r="F257" s="1">
        <f>SUM(H257:P257)</f>
        <v>16</v>
      </c>
      <c r="G257" s="1"/>
      <c r="H257" s="1" t="s">
        <v>15</v>
      </c>
      <c r="I257" s="1">
        <v>2</v>
      </c>
      <c r="J257" s="1">
        <v>5</v>
      </c>
      <c r="K257" s="1" t="s">
        <v>16</v>
      </c>
      <c r="L257" s="1">
        <v>1</v>
      </c>
      <c r="M257" s="1">
        <v>5</v>
      </c>
      <c r="N257" s="1" t="s">
        <v>17</v>
      </c>
      <c r="O257" s="1">
        <v>1</v>
      </c>
      <c r="P257" s="1">
        <v>2</v>
      </c>
      <c r="S257" s="3">
        <v>201040</v>
      </c>
    </row>
    <row r="258" spans="1:20" ht="18" hidden="1" customHeight="1" x14ac:dyDescent="0.45">
      <c r="A258" s="1">
        <v>116</v>
      </c>
      <c r="C258" s="1" t="s">
        <v>162</v>
      </c>
      <c r="D258" s="1" t="s">
        <v>33</v>
      </c>
      <c r="E258" s="1" t="s">
        <v>50</v>
      </c>
      <c r="F258" s="1">
        <f>SUM(H258:P258)</f>
        <v>18</v>
      </c>
      <c r="G258" s="1">
        <f>COUNTIF(I258:P258,1)</f>
        <v>2</v>
      </c>
      <c r="H258" s="1" t="s">
        <v>15</v>
      </c>
      <c r="I258" s="1">
        <v>2</v>
      </c>
      <c r="J258" s="1">
        <v>6</v>
      </c>
      <c r="K258" s="1" t="s">
        <v>16</v>
      </c>
      <c r="L258" s="1">
        <v>2</v>
      </c>
      <c r="M258" s="1">
        <v>1</v>
      </c>
      <c r="N258" s="1" t="s">
        <v>17</v>
      </c>
      <c r="O258" s="1">
        <v>1</v>
      </c>
      <c r="P258" s="1">
        <v>6</v>
      </c>
      <c r="Q258" s="1">
        <v>1</v>
      </c>
      <c r="S258" s="3">
        <v>1874315</v>
      </c>
    </row>
    <row r="259" spans="1:20" ht="18" hidden="1" customHeight="1" x14ac:dyDescent="0.45">
      <c r="A259" s="1">
        <v>296</v>
      </c>
      <c r="C259" s="1" t="s">
        <v>367</v>
      </c>
      <c r="D259" s="1" t="s">
        <v>28</v>
      </c>
      <c r="E259" s="1" t="s">
        <v>129</v>
      </c>
      <c r="F259" s="1">
        <f>SUM(H259:P259)</f>
        <v>32</v>
      </c>
      <c r="G259" s="1"/>
      <c r="H259" s="1" t="s">
        <v>15</v>
      </c>
      <c r="I259" s="1">
        <v>12</v>
      </c>
      <c r="J259" s="1">
        <v>1</v>
      </c>
      <c r="K259" s="1" t="s">
        <v>16</v>
      </c>
      <c r="L259" s="1">
        <v>1</v>
      </c>
      <c r="M259" s="1">
        <v>3</v>
      </c>
      <c r="N259" s="1" t="s">
        <v>17</v>
      </c>
      <c r="O259" s="1">
        <v>3</v>
      </c>
      <c r="P259" s="1">
        <v>12</v>
      </c>
      <c r="T259" s="3">
        <v>10691345</v>
      </c>
    </row>
    <row r="260" spans="1:20" ht="18" hidden="1" customHeight="1" x14ac:dyDescent="0.45">
      <c r="A260" s="1">
        <v>109</v>
      </c>
      <c r="C260" s="1" t="s">
        <v>30</v>
      </c>
      <c r="D260" s="1" t="s">
        <v>28</v>
      </c>
      <c r="E260" s="1" t="s">
        <v>31</v>
      </c>
      <c r="F260" s="1">
        <f>SUM(H260:P260)</f>
        <v>14</v>
      </c>
      <c r="G260" s="1"/>
      <c r="H260" s="1" t="s">
        <v>15</v>
      </c>
      <c r="I260" s="1">
        <v>1</v>
      </c>
      <c r="J260" s="1">
        <v>5</v>
      </c>
      <c r="K260" s="1" t="s">
        <v>16</v>
      </c>
      <c r="L260" s="1">
        <v>3</v>
      </c>
      <c r="M260" s="1">
        <v>2</v>
      </c>
      <c r="N260" s="1" t="s">
        <v>17</v>
      </c>
      <c r="O260" s="1">
        <v>2</v>
      </c>
      <c r="P260" s="1">
        <v>1</v>
      </c>
      <c r="S260" s="3">
        <v>163535</v>
      </c>
    </row>
    <row r="261" spans="1:20" ht="18" hidden="1" customHeight="1" x14ac:dyDescent="0.45">
      <c r="A261" s="1">
        <v>260</v>
      </c>
      <c r="C261" s="1" t="s">
        <v>323</v>
      </c>
      <c r="D261" s="1" t="s">
        <v>33</v>
      </c>
      <c r="E261" s="1" t="s">
        <v>324</v>
      </c>
      <c r="F261" s="1">
        <f>SUM(H261:P261)</f>
        <v>19</v>
      </c>
      <c r="G261" s="1">
        <f>COUNTIF(I261:P261,1)</f>
        <v>2</v>
      </c>
      <c r="H261" s="1" t="s">
        <v>15</v>
      </c>
      <c r="I261" s="1">
        <v>3</v>
      </c>
      <c r="J261" s="1">
        <v>5</v>
      </c>
      <c r="K261" s="1" t="s">
        <v>16</v>
      </c>
      <c r="L261" s="1">
        <v>1</v>
      </c>
      <c r="M261" s="1">
        <v>2</v>
      </c>
      <c r="N261" s="1" t="s">
        <v>17</v>
      </c>
      <c r="O261" s="1">
        <v>1</v>
      </c>
      <c r="P261" s="1">
        <v>7</v>
      </c>
      <c r="S261" s="3">
        <v>180645</v>
      </c>
    </row>
    <row r="262" spans="1:20" ht="18" hidden="1" customHeight="1" x14ac:dyDescent="0.45">
      <c r="A262" s="1">
        <v>261</v>
      </c>
      <c r="C262" s="1" t="s">
        <v>325</v>
      </c>
      <c r="D262" s="1" t="s">
        <v>28</v>
      </c>
      <c r="E262" s="1" t="s">
        <v>81</v>
      </c>
      <c r="F262" s="1">
        <f>SUM(H262:P262)</f>
        <v>24</v>
      </c>
      <c r="G262" s="1">
        <v>1</v>
      </c>
      <c r="H262" s="1" t="s">
        <v>15</v>
      </c>
      <c r="I262" s="1">
        <v>1</v>
      </c>
      <c r="J262" s="1">
        <v>10</v>
      </c>
      <c r="K262" s="1" t="s">
        <v>16</v>
      </c>
      <c r="L262" s="1">
        <v>2</v>
      </c>
      <c r="M262" s="1">
        <v>1</v>
      </c>
      <c r="N262" s="1" t="s">
        <v>17</v>
      </c>
      <c r="O262" s="1">
        <v>6</v>
      </c>
      <c r="P262" s="1">
        <v>4</v>
      </c>
      <c r="S262" s="3">
        <v>12190210</v>
      </c>
    </row>
    <row r="263" spans="1:20" ht="18" hidden="1" customHeight="1" x14ac:dyDescent="0.45">
      <c r="A263" s="1">
        <v>262</v>
      </c>
      <c r="C263" s="1" t="s">
        <v>325</v>
      </c>
      <c r="D263" s="1" t="s">
        <v>33</v>
      </c>
      <c r="E263" s="1" t="s">
        <v>326</v>
      </c>
      <c r="F263" s="1">
        <f>SUM(H263:P263)</f>
        <v>22</v>
      </c>
      <c r="G263" s="1"/>
      <c r="H263" s="1" t="s">
        <v>15</v>
      </c>
      <c r="I263" s="1">
        <v>9</v>
      </c>
      <c r="J263" s="1">
        <v>1</v>
      </c>
      <c r="K263" s="1" t="s">
        <v>16</v>
      </c>
      <c r="L263" s="1">
        <v>1</v>
      </c>
      <c r="M263" s="1">
        <v>5</v>
      </c>
      <c r="N263" s="1" t="s">
        <v>17</v>
      </c>
      <c r="O263" s="1">
        <v>5</v>
      </c>
      <c r="P263" s="1">
        <v>1</v>
      </c>
      <c r="S263" s="3">
        <v>10449530</v>
      </c>
    </row>
    <row r="264" spans="1:20" ht="18" hidden="1" customHeight="1" x14ac:dyDescent="0.45">
      <c r="A264" s="1">
        <v>263</v>
      </c>
      <c r="C264" s="1" t="s">
        <v>327</v>
      </c>
      <c r="D264" s="1" t="s">
        <v>28</v>
      </c>
      <c r="E264" s="1" t="s">
        <v>83</v>
      </c>
      <c r="F264" s="1">
        <f>SUM(H264:P264)</f>
        <v>18</v>
      </c>
      <c r="G264" s="1"/>
      <c r="H264" s="1" t="s">
        <v>15</v>
      </c>
      <c r="I264" s="1">
        <v>6</v>
      </c>
      <c r="J264" s="1">
        <v>2</v>
      </c>
      <c r="K264" s="1" t="s">
        <v>16</v>
      </c>
      <c r="L264" s="1">
        <v>1</v>
      </c>
      <c r="M264" s="1">
        <v>6</v>
      </c>
      <c r="N264" s="1" t="s">
        <v>17</v>
      </c>
      <c r="O264" s="1">
        <v>2</v>
      </c>
      <c r="P264" s="1">
        <v>1</v>
      </c>
      <c r="S264" s="3">
        <v>2766835</v>
      </c>
    </row>
    <row r="265" spans="1:20" ht="18" hidden="1" customHeight="1" x14ac:dyDescent="0.45">
      <c r="A265" s="1">
        <v>264</v>
      </c>
      <c r="C265" s="1" t="s">
        <v>327</v>
      </c>
      <c r="D265" s="1" t="s">
        <v>33</v>
      </c>
      <c r="E265" s="1" t="s">
        <v>328</v>
      </c>
      <c r="F265" s="1">
        <f>SUM(H265:P265)</f>
        <v>23</v>
      </c>
      <c r="G265" s="1"/>
      <c r="H265" s="1" t="s">
        <v>15</v>
      </c>
      <c r="I265" s="1">
        <v>3</v>
      </c>
      <c r="J265" s="1">
        <v>5</v>
      </c>
      <c r="K265" s="1" t="s">
        <v>16</v>
      </c>
      <c r="L265" s="1">
        <v>1</v>
      </c>
      <c r="M265" s="1">
        <v>5</v>
      </c>
      <c r="N265" s="1" t="s">
        <v>17</v>
      </c>
      <c r="O265" s="1">
        <v>2</v>
      </c>
      <c r="P265" s="1">
        <v>7</v>
      </c>
      <c r="Q265" s="1">
        <v>1</v>
      </c>
      <c r="S265" s="3">
        <v>825120</v>
      </c>
    </row>
    <row r="266" spans="1:20" ht="18" hidden="1" customHeight="1" x14ac:dyDescent="0.45">
      <c r="A266" s="1">
        <v>265</v>
      </c>
      <c r="C266" s="1" t="s">
        <v>329</v>
      </c>
      <c r="D266" s="1" t="s">
        <v>59</v>
      </c>
      <c r="E266" s="1" t="s">
        <v>75</v>
      </c>
      <c r="F266" s="1">
        <f>SUM(H266:P266)</f>
        <v>13</v>
      </c>
      <c r="G266" s="1"/>
      <c r="H266" s="1" t="s">
        <v>15</v>
      </c>
      <c r="I266" s="1">
        <v>3</v>
      </c>
      <c r="J266" s="1">
        <v>2</v>
      </c>
      <c r="K266" s="1" t="s">
        <v>16</v>
      </c>
      <c r="L266" s="1">
        <v>1</v>
      </c>
      <c r="M266" s="1">
        <v>4</v>
      </c>
      <c r="N266" s="1" t="s">
        <v>17</v>
      </c>
      <c r="O266" s="1">
        <v>1</v>
      </c>
      <c r="P266" s="1">
        <v>2</v>
      </c>
      <c r="Q266" s="1">
        <v>1</v>
      </c>
      <c r="S266" s="3">
        <v>55785</v>
      </c>
    </row>
    <row r="267" spans="1:20" ht="18" hidden="1" customHeight="1" x14ac:dyDescent="0.45">
      <c r="A267" s="1">
        <v>266</v>
      </c>
      <c r="C267" s="1" t="s">
        <v>330</v>
      </c>
      <c r="D267" s="1" t="s">
        <v>59</v>
      </c>
      <c r="E267" s="1" t="s">
        <v>77</v>
      </c>
      <c r="F267" s="1">
        <f>SUM(H267:P267)</f>
        <v>29</v>
      </c>
      <c r="G267" s="1"/>
      <c r="H267" s="1" t="s">
        <v>15</v>
      </c>
      <c r="I267" s="1">
        <v>3</v>
      </c>
      <c r="J267" s="1">
        <v>1</v>
      </c>
      <c r="K267" s="1" t="s">
        <v>16</v>
      </c>
      <c r="L267" s="1">
        <v>10</v>
      </c>
      <c r="M267" s="1">
        <v>4</v>
      </c>
      <c r="N267" s="1" t="s">
        <v>17</v>
      </c>
      <c r="O267" s="1">
        <v>3</v>
      </c>
      <c r="P267" s="1">
        <v>8</v>
      </c>
      <c r="T267" s="3">
        <v>8979299</v>
      </c>
    </row>
    <row r="268" spans="1:20" ht="18" hidden="1" customHeight="1" x14ac:dyDescent="0.45">
      <c r="A268" s="1">
        <v>267</v>
      </c>
      <c r="C268" s="1" t="s">
        <v>331</v>
      </c>
      <c r="D268" s="1" t="s">
        <v>59</v>
      </c>
      <c r="E268" s="1" t="s">
        <v>79</v>
      </c>
      <c r="F268" s="1">
        <f>SUM(H268:P268)</f>
        <v>17</v>
      </c>
      <c r="G268" s="1"/>
      <c r="H268" s="1" t="s">
        <v>15</v>
      </c>
      <c r="I268" s="1">
        <v>1</v>
      </c>
      <c r="J268" s="1">
        <v>9</v>
      </c>
      <c r="K268" s="1" t="s">
        <v>16</v>
      </c>
      <c r="L268" s="1">
        <v>1</v>
      </c>
      <c r="M268" s="1">
        <v>2</v>
      </c>
      <c r="N268" s="1" t="s">
        <v>17</v>
      </c>
      <c r="O268" s="1">
        <v>1</v>
      </c>
      <c r="P268" s="1">
        <v>3</v>
      </c>
      <c r="S268" s="3">
        <v>809355</v>
      </c>
    </row>
    <row r="269" spans="1:20" ht="18" hidden="1" customHeight="1" x14ac:dyDescent="0.45">
      <c r="A269" s="1">
        <v>268</v>
      </c>
      <c r="C269" s="1" t="s">
        <v>332</v>
      </c>
      <c r="D269" s="1" t="s">
        <v>59</v>
      </c>
      <c r="E269" s="1" t="s">
        <v>81</v>
      </c>
      <c r="F269" s="1">
        <f>SUM(H269:P269)</f>
        <v>22</v>
      </c>
      <c r="G269" s="1">
        <f>COUNTIF(I269:P269,1)</f>
        <v>0</v>
      </c>
      <c r="H269" s="1" t="s">
        <v>15</v>
      </c>
      <c r="I269" s="1">
        <v>7</v>
      </c>
      <c r="J269" s="1">
        <v>3</v>
      </c>
      <c r="K269" s="1" t="s">
        <v>16</v>
      </c>
      <c r="L269" s="1">
        <v>2</v>
      </c>
      <c r="M269" s="1">
        <v>3</v>
      </c>
      <c r="N269" s="1" t="s">
        <v>17</v>
      </c>
      <c r="O269" s="1">
        <v>3</v>
      </c>
      <c r="P269" s="1">
        <v>4</v>
      </c>
      <c r="Q269" s="1">
        <v>1</v>
      </c>
      <c r="S269" s="3">
        <v>11579160</v>
      </c>
    </row>
    <row r="270" spans="1:20" ht="18" hidden="1" customHeight="1" x14ac:dyDescent="0.45">
      <c r="A270" s="1">
        <v>269</v>
      </c>
      <c r="C270" s="1" t="s">
        <v>333</v>
      </c>
      <c r="D270" s="1" t="s">
        <v>59</v>
      </c>
      <c r="E270" s="1" t="s">
        <v>83</v>
      </c>
      <c r="F270" s="1">
        <f>SUM(H270:P270)</f>
        <v>39</v>
      </c>
      <c r="G270" s="1"/>
      <c r="H270" s="1" t="s">
        <v>15</v>
      </c>
      <c r="I270" s="1">
        <v>9</v>
      </c>
      <c r="J270" s="1">
        <v>5</v>
      </c>
      <c r="K270" s="1" t="s">
        <v>16</v>
      </c>
      <c r="L270" s="1">
        <v>8</v>
      </c>
      <c r="M270" s="1">
        <v>10</v>
      </c>
      <c r="N270" s="1" t="s">
        <v>17</v>
      </c>
      <c r="O270" s="1">
        <v>2</v>
      </c>
      <c r="P270" s="1">
        <v>5</v>
      </c>
      <c r="T270" s="3">
        <v>10757957</v>
      </c>
    </row>
    <row r="271" spans="1:20" ht="18" customHeight="1" x14ac:dyDescent="0.45">
      <c r="A271" s="1">
        <v>270</v>
      </c>
      <c r="C271" s="1" t="s">
        <v>334</v>
      </c>
      <c r="D271" s="1" t="s">
        <v>25</v>
      </c>
      <c r="E271" s="1" t="s">
        <v>127</v>
      </c>
      <c r="F271" s="1">
        <f>SUM(H271:P271)</f>
        <v>26</v>
      </c>
      <c r="G271" s="1"/>
      <c r="H271" s="1" t="s">
        <v>15</v>
      </c>
      <c r="I271" s="1">
        <v>5</v>
      </c>
      <c r="J271" s="1">
        <v>4</v>
      </c>
      <c r="K271" s="1" t="s">
        <v>16</v>
      </c>
      <c r="L271" s="1">
        <v>1</v>
      </c>
      <c r="M271" s="1">
        <v>2</v>
      </c>
      <c r="N271" s="1" t="s">
        <v>17</v>
      </c>
      <c r="O271" s="1">
        <v>12</v>
      </c>
      <c r="P271" s="1">
        <v>2</v>
      </c>
      <c r="Q271" s="1">
        <v>1</v>
      </c>
      <c r="S271" s="2">
        <v>55193735</v>
      </c>
      <c r="T271" s="2"/>
    </row>
    <row r="272" spans="1:20" ht="18" customHeight="1" x14ac:dyDescent="0.45">
      <c r="A272" s="1">
        <v>271</v>
      </c>
      <c r="C272" s="1" t="s">
        <v>335</v>
      </c>
      <c r="D272" s="1" t="s">
        <v>25</v>
      </c>
      <c r="E272" s="1" t="s">
        <v>129</v>
      </c>
      <c r="F272" s="1">
        <f>SUM(H272:P272)</f>
        <v>28</v>
      </c>
      <c r="G272" s="1">
        <f>COUNTIF(I272:P272,1)</f>
        <v>0</v>
      </c>
      <c r="H272" s="1" t="s">
        <v>15</v>
      </c>
      <c r="I272" s="1">
        <v>7</v>
      </c>
      <c r="J272" s="1">
        <v>2</v>
      </c>
      <c r="K272" s="1" t="s">
        <v>16</v>
      </c>
      <c r="L272" s="1">
        <v>3</v>
      </c>
      <c r="M272" s="1">
        <v>5</v>
      </c>
      <c r="N272" s="1" t="s">
        <v>17</v>
      </c>
      <c r="O272" s="1">
        <v>5</v>
      </c>
      <c r="P272" s="1">
        <v>6</v>
      </c>
      <c r="Q272" s="1">
        <v>1</v>
      </c>
      <c r="S272" s="2"/>
      <c r="T272" s="2">
        <v>51428202</v>
      </c>
    </row>
    <row r="273" spans="1:20" ht="18" customHeight="1" x14ac:dyDescent="0.45">
      <c r="A273" s="1">
        <v>272</v>
      </c>
      <c r="C273" s="1" t="s">
        <v>336</v>
      </c>
      <c r="D273" s="1" t="s">
        <v>25</v>
      </c>
      <c r="E273" s="1" t="s">
        <v>131</v>
      </c>
      <c r="F273" s="1">
        <f>SUM(H273:P273)</f>
        <v>23</v>
      </c>
      <c r="G273" s="1"/>
      <c r="H273" s="1" t="s">
        <v>15</v>
      </c>
      <c r="I273" s="1">
        <v>2</v>
      </c>
      <c r="J273" s="1">
        <v>9</v>
      </c>
      <c r="K273" s="1" t="s">
        <v>16</v>
      </c>
      <c r="L273" s="1">
        <v>2</v>
      </c>
      <c r="M273" s="1">
        <v>6</v>
      </c>
      <c r="N273" s="1" t="s">
        <v>17</v>
      </c>
      <c r="O273" s="1">
        <v>1</v>
      </c>
      <c r="P273" s="1">
        <v>3</v>
      </c>
      <c r="S273" s="2"/>
      <c r="T273" s="2">
        <v>11356506</v>
      </c>
    </row>
    <row r="274" spans="1:20" ht="18" customHeight="1" x14ac:dyDescent="0.45">
      <c r="A274" s="1">
        <v>273</v>
      </c>
      <c r="C274" s="1" t="s">
        <v>337</v>
      </c>
      <c r="D274" s="1" t="s">
        <v>25</v>
      </c>
      <c r="E274" s="1" t="s">
        <v>133</v>
      </c>
      <c r="F274" s="1">
        <f>SUM(H274:P274)</f>
        <v>14</v>
      </c>
      <c r="G274" s="1"/>
      <c r="H274" s="1" t="s">
        <v>15</v>
      </c>
      <c r="I274" s="1">
        <v>1</v>
      </c>
      <c r="J274" s="1">
        <v>2</v>
      </c>
      <c r="K274" s="1" t="s">
        <v>16</v>
      </c>
      <c r="L274" s="1">
        <v>2</v>
      </c>
      <c r="M274" s="1">
        <v>1</v>
      </c>
      <c r="N274" s="1" t="s">
        <v>17</v>
      </c>
      <c r="O274" s="1">
        <v>5</v>
      </c>
      <c r="P274" s="1">
        <v>3</v>
      </c>
      <c r="S274" s="2">
        <v>307720</v>
      </c>
      <c r="T274" s="2"/>
    </row>
    <row r="275" spans="1:20" ht="18" customHeight="1" x14ac:dyDescent="0.45">
      <c r="A275" s="1">
        <v>186</v>
      </c>
      <c r="C275" s="1" t="s">
        <v>236</v>
      </c>
      <c r="D275" s="1" t="s">
        <v>25</v>
      </c>
      <c r="E275" s="1" t="s">
        <v>237</v>
      </c>
      <c r="F275" s="1">
        <f>SUM(H275:P275)</f>
        <v>10</v>
      </c>
      <c r="G275" s="1"/>
      <c r="H275" s="1" t="s">
        <v>15</v>
      </c>
      <c r="I275" s="1">
        <v>1</v>
      </c>
      <c r="J275" s="1">
        <v>3</v>
      </c>
      <c r="K275" s="1" t="s">
        <v>16</v>
      </c>
      <c r="L275" s="1">
        <v>2</v>
      </c>
      <c r="M275" s="1">
        <v>1</v>
      </c>
      <c r="N275" s="1" t="s">
        <v>17</v>
      </c>
      <c r="O275" s="1">
        <v>2</v>
      </c>
      <c r="P275" s="1">
        <v>1</v>
      </c>
      <c r="S275" s="2">
        <v>360750</v>
      </c>
      <c r="T275" s="2"/>
    </row>
    <row r="276" spans="1:20" ht="18" hidden="1" customHeight="1" x14ac:dyDescent="0.45">
      <c r="A276" s="1">
        <v>275</v>
      </c>
      <c r="C276" s="1" t="s">
        <v>339</v>
      </c>
      <c r="D276" s="1" t="s">
        <v>33</v>
      </c>
      <c r="E276" s="1" t="s">
        <v>340</v>
      </c>
      <c r="F276" s="1">
        <f>SUM(H276:P276)</f>
        <v>27</v>
      </c>
      <c r="G276" s="1">
        <f>COUNTIF(I276:P276,1)</f>
        <v>1</v>
      </c>
      <c r="H276" s="1" t="s">
        <v>15</v>
      </c>
      <c r="I276" s="1">
        <v>9</v>
      </c>
      <c r="J276" s="1">
        <v>3</v>
      </c>
      <c r="K276" s="1" t="s">
        <v>16</v>
      </c>
      <c r="L276" s="1">
        <v>6</v>
      </c>
      <c r="M276" s="1">
        <v>3</v>
      </c>
      <c r="N276" s="1" t="s">
        <v>17</v>
      </c>
      <c r="O276" s="1">
        <v>1</v>
      </c>
      <c r="P276" s="1">
        <v>5</v>
      </c>
      <c r="T276" s="3">
        <v>11804653</v>
      </c>
    </row>
    <row r="277" spans="1:20" ht="18" hidden="1" customHeight="1" x14ac:dyDescent="0.45">
      <c r="A277" s="1">
        <v>276</v>
      </c>
      <c r="C277" s="1" t="s">
        <v>341</v>
      </c>
      <c r="D277" s="1" t="s">
        <v>33</v>
      </c>
      <c r="E277" s="1" t="s">
        <v>342</v>
      </c>
      <c r="F277" s="1">
        <f>SUM(H277:P277)</f>
        <v>20</v>
      </c>
      <c r="G277" s="1"/>
      <c r="H277" s="1" t="s">
        <v>15</v>
      </c>
      <c r="I277" s="1">
        <v>1</v>
      </c>
      <c r="J277" s="1">
        <v>10</v>
      </c>
      <c r="K277" s="1" t="s">
        <v>16</v>
      </c>
      <c r="L277" s="1">
        <v>1</v>
      </c>
      <c r="M277" s="1">
        <v>3</v>
      </c>
      <c r="N277" s="1" t="s">
        <v>17</v>
      </c>
      <c r="O277" s="1">
        <v>1</v>
      </c>
      <c r="P277" s="1">
        <v>4</v>
      </c>
      <c r="S277" s="3">
        <v>703260</v>
      </c>
    </row>
    <row r="278" spans="1:20" ht="18" hidden="1" customHeight="1" x14ac:dyDescent="0.45">
      <c r="A278" s="1">
        <v>277</v>
      </c>
      <c r="C278" s="1" t="s">
        <v>343</v>
      </c>
      <c r="D278" s="1" t="s">
        <v>33</v>
      </c>
      <c r="E278" s="1" t="s">
        <v>344</v>
      </c>
      <c r="F278" s="1">
        <f>SUM(H278:P278)</f>
        <v>28</v>
      </c>
      <c r="G278" s="1"/>
      <c r="H278" s="1" t="s">
        <v>15</v>
      </c>
      <c r="I278" s="1">
        <v>4</v>
      </c>
      <c r="J278" s="1">
        <v>10</v>
      </c>
      <c r="K278" s="1" t="s">
        <v>16</v>
      </c>
      <c r="L278" s="1">
        <v>1</v>
      </c>
      <c r="M278" s="1">
        <v>2</v>
      </c>
      <c r="N278" s="1" t="s">
        <v>17</v>
      </c>
      <c r="O278" s="1">
        <v>4</v>
      </c>
      <c r="P278" s="1">
        <v>7</v>
      </c>
      <c r="Q278" s="1">
        <v>1</v>
      </c>
      <c r="S278" s="3">
        <v>19094415</v>
      </c>
    </row>
    <row r="279" spans="1:20" ht="18" hidden="1" customHeight="1" x14ac:dyDescent="0.45">
      <c r="A279" s="1">
        <v>278</v>
      </c>
      <c r="C279" s="1" t="s">
        <v>345</v>
      </c>
      <c r="D279" s="1" t="s">
        <v>33</v>
      </c>
      <c r="E279" s="1" t="s">
        <v>346</v>
      </c>
      <c r="F279" s="1">
        <f>SUM(H279:P279)</f>
        <v>34</v>
      </c>
      <c r="G279" s="1"/>
      <c r="H279" s="1" t="s">
        <v>15</v>
      </c>
      <c r="I279" s="1">
        <v>6</v>
      </c>
      <c r="J279" s="1">
        <v>4</v>
      </c>
      <c r="K279" s="1" t="s">
        <v>16</v>
      </c>
      <c r="L279" s="1">
        <v>3</v>
      </c>
      <c r="M279" s="1">
        <v>14</v>
      </c>
      <c r="N279" s="1" t="s">
        <v>17</v>
      </c>
      <c r="O279" s="1">
        <v>4</v>
      </c>
      <c r="P279" s="1">
        <v>3</v>
      </c>
      <c r="T279" s="3">
        <v>11890949</v>
      </c>
    </row>
    <row r="280" spans="1:20" ht="18" hidden="1" customHeight="1" x14ac:dyDescent="0.45">
      <c r="A280" s="1">
        <v>279</v>
      </c>
      <c r="C280" s="1" t="s">
        <v>347</v>
      </c>
      <c r="D280" s="1" t="s">
        <v>33</v>
      </c>
      <c r="E280" s="1" t="s">
        <v>348</v>
      </c>
      <c r="F280" s="1">
        <f>SUM(H280:P280)</f>
        <v>30</v>
      </c>
      <c r="G280" s="1"/>
      <c r="H280" s="1" t="s">
        <v>15</v>
      </c>
      <c r="I280" s="1">
        <v>1</v>
      </c>
      <c r="J280" s="1">
        <v>8</v>
      </c>
      <c r="K280" s="1" t="s">
        <v>16</v>
      </c>
      <c r="L280" s="1">
        <v>1</v>
      </c>
      <c r="M280" s="1">
        <v>5</v>
      </c>
      <c r="N280" s="1" t="s">
        <v>17</v>
      </c>
      <c r="O280" s="1">
        <v>6</v>
      </c>
      <c r="P280" s="1">
        <v>9</v>
      </c>
      <c r="S280" s="3">
        <v>4073830</v>
      </c>
    </row>
    <row r="281" spans="1:20" ht="18" hidden="1" customHeight="1" x14ac:dyDescent="0.45">
      <c r="A281" s="1">
        <v>181</v>
      </c>
      <c r="C281" s="1" t="s">
        <v>229</v>
      </c>
      <c r="D281" s="1" t="s">
        <v>33</v>
      </c>
      <c r="E281" s="1" t="s">
        <v>190</v>
      </c>
      <c r="F281" s="1">
        <f>SUM(H281:P281)</f>
        <v>22</v>
      </c>
      <c r="G281" s="1">
        <v>1</v>
      </c>
      <c r="H281" s="1" t="s">
        <v>15</v>
      </c>
      <c r="I281" s="1">
        <v>5</v>
      </c>
      <c r="J281" s="1">
        <v>1</v>
      </c>
      <c r="K281" s="1" t="s">
        <v>16</v>
      </c>
      <c r="L281" s="1">
        <v>2</v>
      </c>
      <c r="M281" s="1">
        <v>1</v>
      </c>
      <c r="N281" s="1" t="s">
        <v>17</v>
      </c>
      <c r="O281" s="1">
        <v>3</v>
      </c>
      <c r="P281" s="1">
        <v>10</v>
      </c>
      <c r="S281" s="3">
        <v>10045815</v>
      </c>
    </row>
    <row r="282" spans="1:20" ht="18" hidden="1" customHeight="1" x14ac:dyDescent="0.45">
      <c r="A282" s="1">
        <v>281</v>
      </c>
      <c r="C282" s="1" t="s">
        <v>350</v>
      </c>
      <c r="D282" s="1" t="s">
        <v>28</v>
      </c>
      <c r="E282" s="1" t="s">
        <v>99</v>
      </c>
      <c r="F282" s="1">
        <f>SUM(H282:P282)</f>
        <v>25</v>
      </c>
      <c r="G282" s="1">
        <f>COUNTIF(I282:P282,1)</f>
        <v>1</v>
      </c>
      <c r="H282" s="1" t="s">
        <v>15</v>
      </c>
      <c r="I282" s="1">
        <v>1</v>
      </c>
      <c r="J282" s="1">
        <v>5</v>
      </c>
      <c r="K282" s="1" t="s">
        <v>16</v>
      </c>
      <c r="L282" s="1">
        <v>2</v>
      </c>
      <c r="M282" s="1">
        <v>6</v>
      </c>
      <c r="N282" s="1" t="s">
        <v>17</v>
      </c>
      <c r="O282" s="1">
        <v>7</v>
      </c>
      <c r="P282" s="1">
        <v>4</v>
      </c>
      <c r="T282" s="3">
        <v>12937470</v>
      </c>
    </row>
    <row r="283" spans="1:20" ht="18" hidden="1" customHeight="1" x14ac:dyDescent="0.45">
      <c r="A283" s="1">
        <v>282</v>
      </c>
      <c r="C283" s="1" t="s">
        <v>351</v>
      </c>
      <c r="D283" s="1" t="s">
        <v>28</v>
      </c>
      <c r="E283" s="1" t="s">
        <v>102</v>
      </c>
      <c r="F283" s="1">
        <f>SUM(H283:P283)</f>
        <v>19</v>
      </c>
      <c r="G283" s="1"/>
      <c r="H283" s="1" t="s">
        <v>15</v>
      </c>
      <c r="I283" s="1">
        <v>7</v>
      </c>
      <c r="J283" s="1">
        <v>3</v>
      </c>
      <c r="K283" s="1" t="s">
        <v>16</v>
      </c>
      <c r="L283" s="1">
        <v>2</v>
      </c>
      <c r="M283" s="1">
        <v>4</v>
      </c>
      <c r="N283" s="1" t="s">
        <v>17</v>
      </c>
      <c r="O283" s="1">
        <v>2</v>
      </c>
      <c r="P283" s="1">
        <v>1</v>
      </c>
      <c r="S283" s="3">
        <v>16437235</v>
      </c>
    </row>
    <row r="284" spans="1:20" ht="18" hidden="1" customHeight="1" x14ac:dyDescent="0.45">
      <c r="A284" s="1">
        <v>59</v>
      </c>
      <c r="C284" s="1" t="s">
        <v>73</v>
      </c>
      <c r="D284" s="1" t="s">
        <v>28</v>
      </c>
      <c r="E284" s="1" t="s">
        <v>57</v>
      </c>
      <c r="F284" s="1">
        <f>SUM(H284:P284)</f>
        <v>12</v>
      </c>
      <c r="G284" s="1"/>
      <c r="H284" s="1" t="s">
        <v>15</v>
      </c>
      <c r="I284" s="1">
        <v>2</v>
      </c>
      <c r="J284" s="1">
        <v>4</v>
      </c>
      <c r="K284" s="1" t="s">
        <v>16</v>
      </c>
      <c r="L284" s="1">
        <v>2</v>
      </c>
      <c r="M284" s="1">
        <v>1</v>
      </c>
      <c r="N284" s="1" t="s">
        <v>17</v>
      </c>
      <c r="O284" s="1">
        <v>1</v>
      </c>
      <c r="P284" s="1">
        <v>2</v>
      </c>
      <c r="S284" s="3">
        <v>578545</v>
      </c>
    </row>
    <row r="285" spans="1:20" ht="18" customHeight="1" x14ac:dyDescent="0.45">
      <c r="A285" s="1">
        <v>35</v>
      </c>
      <c r="B285" s="1"/>
      <c r="C285" s="1" t="s">
        <v>408</v>
      </c>
      <c r="D285" s="1" t="s">
        <v>25</v>
      </c>
      <c r="E285" s="1" t="s">
        <v>67</v>
      </c>
      <c r="F285" s="1">
        <f>SUM(H285:P285)</f>
        <v>16</v>
      </c>
      <c r="G285" s="1">
        <f>COUNTIF(I285:P285,1)</f>
        <v>1</v>
      </c>
      <c r="H285" s="1" t="s">
        <v>15</v>
      </c>
      <c r="I285" s="1">
        <v>2</v>
      </c>
      <c r="J285" s="1">
        <v>6</v>
      </c>
      <c r="K285" s="1" t="s">
        <v>16</v>
      </c>
      <c r="L285" s="1">
        <v>2</v>
      </c>
      <c r="M285" s="1">
        <v>3</v>
      </c>
      <c r="N285" s="1" t="s">
        <v>17</v>
      </c>
      <c r="O285" s="1">
        <v>2</v>
      </c>
      <c r="P285" s="1">
        <v>1</v>
      </c>
      <c r="R285" s="1" t="s">
        <v>409</v>
      </c>
      <c r="S285" s="3">
        <v>644450</v>
      </c>
      <c r="T285" s="1">
        <v>0</v>
      </c>
    </row>
    <row r="286" spans="1:20" ht="18" hidden="1" customHeight="1" x14ac:dyDescent="0.45">
      <c r="A286" s="1">
        <v>285</v>
      </c>
      <c r="C286" s="1" t="s">
        <v>354</v>
      </c>
      <c r="D286" s="1" t="s">
        <v>59</v>
      </c>
      <c r="E286" s="1" t="s">
        <v>97</v>
      </c>
      <c r="F286" s="1">
        <f>SUM(H286:P286)</f>
        <v>22</v>
      </c>
      <c r="G286" s="1"/>
      <c r="H286" s="1" t="s">
        <v>15</v>
      </c>
      <c r="I286" s="1">
        <v>5</v>
      </c>
      <c r="J286" s="1">
        <v>3</v>
      </c>
      <c r="K286" s="1" t="s">
        <v>16</v>
      </c>
      <c r="L286" s="1">
        <v>1</v>
      </c>
      <c r="M286" s="1">
        <v>4</v>
      </c>
      <c r="N286" s="1" t="s">
        <v>17</v>
      </c>
      <c r="O286" s="1">
        <v>6</v>
      </c>
      <c r="P286" s="1">
        <v>3</v>
      </c>
      <c r="Q286" s="1">
        <v>1</v>
      </c>
      <c r="S286" s="3">
        <v>5991930</v>
      </c>
    </row>
    <row r="287" spans="1:20" ht="18" hidden="1" customHeight="1" x14ac:dyDescent="0.45">
      <c r="A287" s="1">
        <v>286</v>
      </c>
      <c r="C287" s="1" t="s">
        <v>355</v>
      </c>
      <c r="D287" s="1" t="s">
        <v>59</v>
      </c>
      <c r="E287" s="1" t="s">
        <v>99</v>
      </c>
      <c r="F287" s="1">
        <f>SUM(H287:P287)</f>
        <v>19</v>
      </c>
      <c r="G287" s="1">
        <f>COUNTIF(I287:P287,1)</f>
        <v>1</v>
      </c>
      <c r="H287" s="1" t="s">
        <v>15</v>
      </c>
      <c r="I287" s="1">
        <v>3</v>
      </c>
      <c r="J287" s="1">
        <v>4</v>
      </c>
      <c r="K287" s="1" t="s">
        <v>16</v>
      </c>
      <c r="L287" s="1">
        <v>5</v>
      </c>
      <c r="M287" s="1">
        <v>2</v>
      </c>
      <c r="N287" s="1" t="s">
        <v>17</v>
      </c>
      <c r="O287" s="1">
        <v>1</v>
      </c>
      <c r="P287" s="1">
        <v>4</v>
      </c>
      <c r="T287" s="3">
        <v>8372791</v>
      </c>
    </row>
    <row r="288" spans="1:20" ht="18" hidden="1" customHeight="1" x14ac:dyDescent="0.45">
      <c r="A288" s="1">
        <v>287</v>
      </c>
      <c r="C288" s="1" t="s">
        <v>356</v>
      </c>
      <c r="D288" s="1" t="s">
        <v>59</v>
      </c>
      <c r="E288" s="1" t="s">
        <v>102</v>
      </c>
      <c r="F288" s="1">
        <f>SUM(H288:P288)</f>
        <v>16</v>
      </c>
      <c r="G288" s="1"/>
      <c r="H288" s="1" t="s">
        <v>15</v>
      </c>
      <c r="I288" s="1">
        <v>8</v>
      </c>
      <c r="J288" s="1">
        <v>1</v>
      </c>
      <c r="K288" s="1" t="s">
        <v>16</v>
      </c>
      <c r="L288" s="1">
        <v>1</v>
      </c>
      <c r="M288" s="1">
        <v>2</v>
      </c>
      <c r="N288" s="1" t="s">
        <v>17</v>
      </c>
      <c r="O288" s="1">
        <v>1</v>
      </c>
      <c r="P288" s="1">
        <v>3</v>
      </c>
      <c r="S288" s="3">
        <v>97275</v>
      </c>
    </row>
    <row r="289" spans="1:20" ht="18" hidden="1" customHeight="1" x14ac:dyDescent="0.45">
      <c r="A289" s="1">
        <v>155</v>
      </c>
      <c r="C289" s="1" t="s">
        <v>37</v>
      </c>
      <c r="D289" s="1" t="s">
        <v>28</v>
      </c>
      <c r="E289" s="1" t="s">
        <v>38</v>
      </c>
      <c r="F289" s="1">
        <f>SUM(H289:P289)</f>
        <v>15</v>
      </c>
      <c r="G289" s="1"/>
      <c r="H289" s="1" t="s">
        <v>15</v>
      </c>
      <c r="I289" s="1">
        <v>1</v>
      </c>
      <c r="J289" s="1">
        <v>6</v>
      </c>
      <c r="K289" s="1" t="s">
        <v>16</v>
      </c>
      <c r="L289" s="1">
        <v>3</v>
      </c>
      <c r="M289" s="1">
        <v>2</v>
      </c>
      <c r="N289" s="1" t="s">
        <v>17</v>
      </c>
      <c r="O289" s="1">
        <v>2</v>
      </c>
      <c r="P289" s="1">
        <v>1</v>
      </c>
      <c r="S289" s="3">
        <v>1074555</v>
      </c>
    </row>
    <row r="290" spans="1:20" ht="18" hidden="1" customHeight="1" x14ac:dyDescent="0.45">
      <c r="A290" s="1">
        <v>289</v>
      </c>
      <c r="C290" s="1" t="s">
        <v>358</v>
      </c>
      <c r="D290" s="1" t="s">
        <v>59</v>
      </c>
      <c r="E290" s="1" t="s">
        <v>108</v>
      </c>
      <c r="F290" s="1">
        <f>SUM(H290:P290)</f>
        <v>22</v>
      </c>
      <c r="G290" s="1"/>
      <c r="H290" s="1" t="s">
        <v>15</v>
      </c>
      <c r="I290" s="1">
        <v>1</v>
      </c>
      <c r="J290" s="1">
        <v>11</v>
      </c>
      <c r="K290" s="1" t="s">
        <v>16</v>
      </c>
      <c r="L290" s="1">
        <v>3</v>
      </c>
      <c r="M290" s="1">
        <v>2</v>
      </c>
      <c r="N290" s="1" t="s">
        <v>17</v>
      </c>
      <c r="O290" s="1">
        <v>3</v>
      </c>
      <c r="P290" s="1">
        <v>2</v>
      </c>
      <c r="S290" s="3">
        <v>4799150</v>
      </c>
    </row>
    <row r="291" spans="1:20" ht="18" hidden="1" customHeight="1" x14ac:dyDescent="0.45">
      <c r="A291" s="1">
        <v>143</v>
      </c>
      <c r="C291" s="1" t="s">
        <v>191</v>
      </c>
      <c r="D291" s="1" t="s">
        <v>33</v>
      </c>
      <c r="E291" s="1" t="s">
        <v>117</v>
      </c>
      <c r="F291" s="1">
        <f>SUM(H291:P291)</f>
        <v>18</v>
      </c>
      <c r="G291" s="1">
        <f>COUNTIF(I291:P291,1)</f>
        <v>1</v>
      </c>
      <c r="H291" s="1" t="s">
        <v>15</v>
      </c>
      <c r="I291" s="1">
        <v>2</v>
      </c>
      <c r="J291" s="1">
        <v>4</v>
      </c>
      <c r="K291" s="1" t="s">
        <v>16</v>
      </c>
      <c r="L291" s="1">
        <v>1</v>
      </c>
      <c r="M291" s="1">
        <v>3</v>
      </c>
      <c r="N291" s="1" t="s">
        <v>17</v>
      </c>
      <c r="O291" s="1">
        <v>2</v>
      </c>
      <c r="P291" s="1">
        <v>6</v>
      </c>
      <c r="S291" s="3">
        <v>2818515</v>
      </c>
    </row>
    <row r="292" spans="1:20" ht="18" hidden="1" customHeight="1" x14ac:dyDescent="0.45">
      <c r="A292" s="1">
        <v>291</v>
      </c>
      <c r="B292">
        <v>1</v>
      </c>
      <c r="C292" s="1" t="s">
        <v>361</v>
      </c>
      <c r="D292" s="1" t="s">
        <v>33</v>
      </c>
      <c r="E292" s="1" t="s">
        <v>362</v>
      </c>
      <c r="F292" s="1">
        <f>SUM(H292:P292)</f>
        <v>11</v>
      </c>
      <c r="G292" s="1"/>
      <c r="H292" s="1" t="s">
        <v>15</v>
      </c>
      <c r="I292" s="1">
        <v>3</v>
      </c>
      <c r="J292" s="1">
        <v>2</v>
      </c>
      <c r="K292" s="1" t="s">
        <v>16</v>
      </c>
      <c r="L292" s="1">
        <v>2</v>
      </c>
      <c r="M292" s="1">
        <v>1</v>
      </c>
      <c r="N292" s="1" t="s">
        <v>17</v>
      </c>
      <c r="O292" s="1">
        <v>1</v>
      </c>
      <c r="P292" s="1">
        <v>2</v>
      </c>
      <c r="Q292" s="1">
        <v>1</v>
      </c>
      <c r="S292" s="3">
        <v>79480</v>
      </c>
    </row>
    <row r="293" spans="1:20" ht="18" hidden="1" customHeight="1" x14ac:dyDescent="0.45">
      <c r="A293" s="1">
        <v>249</v>
      </c>
      <c r="C293" s="1" t="s">
        <v>311</v>
      </c>
      <c r="D293" s="1" t="s">
        <v>33</v>
      </c>
      <c r="E293" s="1" t="s">
        <v>312</v>
      </c>
      <c r="F293" s="1">
        <f>SUM(H293:P293)</f>
        <v>43</v>
      </c>
      <c r="G293" s="1"/>
      <c r="H293" s="1" t="s">
        <v>15</v>
      </c>
      <c r="I293" s="1">
        <v>9</v>
      </c>
      <c r="J293" s="1">
        <v>7</v>
      </c>
      <c r="K293" s="1" t="s">
        <v>16</v>
      </c>
      <c r="L293" s="1">
        <v>1</v>
      </c>
      <c r="M293" s="1">
        <v>5</v>
      </c>
      <c r="N293" s="1" t="s">
        <v>17</v>
      </c>
      <c r="O293" s="1">
        <v>8</v>
      </c>
      <c r="P293" s="1">
        <v>13</v>
      </c>
      <c r="T293" s="3">
        <v>15242269</v>
      </c>
    </row>
    <row r="294" spans="1:20" ht="18" hidden="1" customHeight="1" x14ac:dyDescent="0.45">
      <c r="A294" s="1">
        <v>293</v>
      </c>
      <c r="C294" s="1" t="s">
        <v>364</v>
      </c>
      <c r="D294" s="1" t="s">
        <v>33</v>
      </c>
      <c r="E294" s="1" t="s">
        <v>103</v>
      </c>
      <c r="F294" s="1">
        <f>SUM(H294:P294)</f>
        <v>18</v>
      </c>
      <c r="G294" s="1">
        <f>COUNTIF(I294:P294,1)</f>
        <v>1</v>
      </c>
      <c r="H294" s="1" t="s">
        <v>15</v>
      </c>
      <c r="I294" s="1">
        <v>2</v>
      </c>
      <c r="J294" s="1">
        <v>7</v>
      </c>
      <c r="K294" s="1" t="s">
        <v>16</v>
      </c>
      <c r="L294" s="1">
        <v>2</v>
      </c>
      <c r="M294" s="1">
        <v>1</v>
      </c>
      <c r="N294" s="1" t="s">
        <v>17</v>
      </c>
      <c r="O294" s="1">
        <v>2</v>
      </c>
      <c r="P294" s="1">
        <v>4</v>
      </c>
      <c r="S294" s="3">
        <v>1524250</v>
      </c>
    </row>
    <row r="295" spans="1:20" ht="18" hidden="1" customHeight="1" x14ac:dyDescent="0.45">
      <c r="A295" s="1">
        <v>294</v>
      </c>
      <c r="C295" s="1" t="s">
        <v>365</v>
      </c>
      <c r="D295" s="1" t="s">
        <v>33</v>
      </c>
      <c r="E295" s="1" t="s">
        <v>106</v>
      </c>
      <c r="F295" s="1">
        <f>SUM(H295:P295)</f>
        <v>13</v>
      </c>
      <c r="G295" s="1"/>
      <c r="H295" s="1" t="s">
        <v>15</v>
      </c>
      <c r="I295" s="1">
        <v>1</v>
      </c>
      <c r="J295" s="1">
        <v>2</v>
      </c>
      <c r="K295" s="1" t="s">
        <v>16</v>
      </c>
      <c r="L295" s="1">
        <v>1</v>
      </c>
      <c r="M295" s="1">
        <v>2</v>
      </c>
      <c r="N295" s="1" t="s">
        <v>17</v>
      </c>
      <c r="O295" s="1">
        <v>4</v>
      </c>
      <c r="P295" s="1">
        <v>3</v>
      </c>
      <c r="Q295" s="1">
        <v>1</v>
      </c>
      <c r="S295" s="3">
        <v>71225</v>
      </c>
    </row>
    <row r="296" spans="1:20" ht="18" hidden="1" customHeight="1" x14ac:dyDescent="0.45">
      <c r="A296" s="1">
        <v>295</v>
      </c>
      <c r="C296" s="1" t="s">
        <v>366</v>
      </c>
      <c r="D296" s="1" t="s">
        <v>28</v>
      </c>
      <c r="E296" s="1" t="s">
        <v>127</v>
      </c>
      <c r="F296" s="1">
        <f>SUM(H296:P296)</f>
        <v>16</v>
      </c>
      <c r="G296" s="1"/>
      <c r="H296" s="1" t="s">
        <v>15</v>
      </c>
      <c r="I296" s="1">
        <v>1</v>
      </c>
      <c r="J296" s="1">
        <v>3</v>
      </c>
      <c r="K296" s="1" t="s">
        <v>16</v>
      </c>
      <c r="L296" s="1">
        <v>4</v>
      </c>
      <c r="M296" s="1">
        <v>2</v>
      </c>
      <c r="N296" s="1" t="s">
        <v>17</v>
      </c>
      <c r="O296" s="1">
        <v>4</v>
      </c>
      <c r="P296" s="1">
        <v>2</v>
      </c>
      <c r="Q296" s="1">
        <v>1</v>
      </c>
      <c r="S296" s="3">
        <v>807995</v>
      </c>
    </row>
    <row r="297" spans="1:20" ht="18" hidden="1" customHeight="1" x14ac:dyDescent="0.45">
      <c r="A297" s="1">
        <v>258</v>
      </c>
      <c r="C297" s="1" t="s">
        <v>321</v>
      </c>
      <c r="D297" s="1" t="s">
        <v>33</v>
      </c>
      <c r="E297" s="1" t="s">
        <v>322</v>
      </c>
      <c r="F297" s="1">
        <f>SUM(H297:P297)</f>
        <v>34</v>
      </c>
      <c r="G297" s="1"/>
      <c r="H297" s="1" t="s">
        <v>15</v>
      </c>
      <c r="I297" s="1">
        <v>4</v>
      </c>
      <c r="J297" s="1">
        <v>2</v>
      </c>
      <c r="K297" s="1" t="s">
        <v>16</v>
      </c>
      <c r="L297" s="1">
        <v>1</v>
      </c>
      <c r="M297" s="1">
        <v>15</v>
      </c>
      <c r="N297" s="1" t="s">
        <v>17</v>
      </c>
      <c r="O297" s="1">
        <v>1</v>
      </c>
      <c r="P297" s="1">
        <v>11</v>
      </c>
      <c r="S297" s="3">
        <v>8070150</v>
      </c>
    </row>
    <row r="298" spans="1:20" ht="18" hidden="1" customHeight="1" x14ac:dyDescent="0.45">
      <c r="A298" s="1">
        <v>297</v>
      </c>
      <c r="C298" s="1" t="s">
        <v>368</v>
      </c>
      <c r="D298" s="1" t="s">
        <v>28</v>
      </c>
      <c r="E298" s="1" t="s">
        <v>131</v>
      </c>
      <c r="F298" s="1">
        <f>SUM(H298:P298)</f>
        <v>13</v>
      </c>
      <c r="G298" s="1"/>
      <c r="H298" s="1" t="s">
        <v>15</v>
      </c>
      <c r="I298" s="1">
        <v>4</v>
      </c>
      <c r="J298" s="1">
        <v>1</v>
      </c>
      <c r="K298" s="1" t="s">
        <v>16</v>
      </c>
      <c r="L298" s="1">
        <v>2</v>
      </c>
      <c r="M298" s="1">
        <v>1</v>
      </c>
      <c r="N298" s="1" t="s">
        <v>17</v>
      </c>
      <c r="O298" s="1">
        <v>2</v>
      </c>
      <c r="P298" s="1">
        <v>3</v>
      </c>
      <c r="S298" s="3">
        <v>352525</v>
      </c>
    </row>
    <row r="299" spans="1:20" ht="18" hidden="1" customHeight="1" x14ac:dyDescent="0.45">
      <c r="A299" s="1">
        <v>298</v>
      </c>
      <c r="C299" s="1" t="s">
        <v>369</v>
      </c>
      <c r="D299" s="1" t="s">
        <v>28</v>
      </c>
      <c r="E299" s="1" t="s">
        <v>133</v>
      </c>
      <c r="F299" s="1">
        <f>SUM(H299:P299)</f>
        <v>20</v>
      </c>
      <c r="G299" s="1"/>
      <c r="H299" s="1" t="s">
        <v>15</v>
      </c>
      <c r="I299" s="1">
        <v>2</v>
      </c>
      <c r="J299" s="1">
        <v>4</v>
      </c>
      <c r="K299" s="1" t="s">
        <v>16</v>
      </c>
      <c r="L299" s="1">
        <v>1</v>
      </c>
      <c r="M299" s="1">
        <v>5</v>
      </c>
      <c r="N299" s="1" t="s">
        <v>17</v>
      </c>
      <c r="O299" s="1">
        <v>5</v>
      </c>
      <c r="P299" s="1">
        <v>3</v>
      </c>
      <c r="Q299" s="1">
        <v>1</v>
      </c>
      <c r="S299" s="3">
        <v>4074260</v>
      </c>
    </row>
    <row r="300" spans="1:20" ht="18" hidden="1" customHeight="1" x14ac:dyDescent="0.45">
      <c r="A300" s="1">
        <v>299</v>
      </c>
      <c r="C300" s="1" t="s">
        <v>370</v>
      </c>
      <c r="D300" s="1" t="s">
        <v>28</v>
      </c>
      <c r="E300" s="1" t="s">
        <v>135</v>
      </c>
      <c r="F300" s="1">
        <f>SUM(H300:P300)</f>
        <v>32</v>
      </c>
      <c r="G300" s="1"/>
      <c r="H300" s="1" t="s">
        <v>15</v>
      </c>
      <c r="I300" s="1">
        <v>7</v>
      </c>
      <c r="J300" s="1">
        <v>1</v>
      </c>
      <c r="K300" s="1" t="s">
        <v>16</v>
      </c>
      <c r="L300" s="1">
        <v>8</v>
      </c>
      <c r="M300" s="1">
        <v>1</v>
      </c>
      <c r="N300" s="1" t="s">
        <v>17</v>
      </c>
      <c r="O300" s="1">
        <v>13</v>
      </c>
      <c r="P300" s="1">
        <v>2</v>
      </c>
      <c r="T300" s="3">
        <v>11300891</v>
      </c>
    </row>
    <row r="301" spans="1:20" ht="18" hidden="1" customHeight="1" x14ac:dyDescent="0.45">
      <c r="A301" s="1">
        <v>300</v>
      </c>
      <c r="C301" s="1" t="s">
        <v>371</v>
      </c>
      <c r="D301" s="1" t="s">
        <v>33</v>
      </c>
      <c r="E301" s="1" t="s">
        <v>113</v>
      </c>
      <c r="F301" s="1">
        <f>SUM(H301:P301)</f>
        <v>26</v>
      </c>
      <c r="G301" s="1">
        <f>COUNTIF(I301:P301,1)</f>
        <v>1</v>
      </c>
      <c r="H301" s="1" t="s">
        <v>15</v>
      </c>
      <c r="I301" s="1">
        <v>4</v>
      </c>
      <c r="J301" s="1">
        <v>8</v>
      </c>
      <c r="K301" s="1" t="s">
        <v>16</v>
      </c>
      <c r="L301" s="1">
        <v>2</v>
      </c>
      <c r="M301" s="1">
        <v>4</v>
      </c>
      <c r="N301" s="1" t="s">
        <v>17</v>
      </c>
      <c r="O301" s="1">
        <v>1</v>
      </c>
      <c r="P301" s="1">
        <v>7</v>
      </c>
      <c r="T301" s="3">
        <v>11709397</v>
      </c>
    </row>
    <row r="302" spans="1:20" ht="18" hidden="1" customHeight="1" x14ac:dyDescent="0.45">
      <c r="A302" s="1">
        <v>301</v>
      </c>
      <c r="C302" s="1" t="s">
        <v>372</v>
      </c>
      <c r="D302" s="1" t="s">
        <v>33</v>
      </c>
      <c r="E302" s="1" t="s">
        <v>115</v>
      </c>
      <c r="F302" s="1">
        <f>SUM(H302:P302)</f>
        <v>17</v>
      </c>
      <c r="G302" s="1"/>
      <c r="H302" s="1" t="s">
        <v>15</v>
      </c>
      <c r="I302" s="1">
        <v>2</v>
      </c>
      <c r="J302" s="1">
        <v>5</v>
      </c>
      <c r="K302" s="1" t="s">
        <v>16</v>
      </c>
      <c r="L302" s="1">
        <v>1</v>
      </c>
      <c r="M302" s="1">
        <v>2</v>
      </c>
      <c r="N302" s="1" t="s">
        <v>17</v>
      </c>
      <c r="O302" s="1">
        <v>5</v>
      </c>
      <c r="P302" s="1">
        <v>2</v>
      </c>
      <c r="Q302" s="1">
        <v>1</v>
      </c>
      <c r="S302" s="3">
        <v>1574990</v>
      </c>
    </row>
    <row r="303" spans="1:20" ht="18" hidden="1" customHeight="1" x14ac:dyDescent="0.45">
      <c r="A303" s="1">
        <v>302</v>
      </c>
      <c r="C303" s="1" t="s">
        <v>373</v>
      </c>
      <c r="D303" s="1" t="s">
        <v>33</v>
      </c>
      <c r="E303" s="1" t="s">
        <v>120</v>
      </c>
      <c r="F303" s="1">
        <f>SUM(H303:P303)</f>
        <v>29</v>
      </c>
      <c r="G303" s="1"/>
      <c r="H303" s="1" t="s">
        <v>15</v>
      </c>
      <c r="I303" s="1">
        <v>11</v>
      </c>
      <c r="J303" s="1">
        <v>5</v>
      </c>
      <c r="K303" s="1" t="s">
        <v>16</v>
      </c>
      <c r="L303" s="1">
        <v>3</v>
      </c>
      <c r="M303" s="1">
        <v>5</v>
      </c>
      <c r="N303" s="1" t="s">
        <v>17</v>
      </c>
      <c r="O303" s="1">
        <v>3</v>
      </c>
      <c r="P303" s="1">
        <v>2</v>
      </c>
      <c r="Q303" s="1">
        <v>1</v>
      </c>
      <c r="T303" s="3">
        <v>44988433</v>
      </c>
    </row>
    <row r="304" spans="1:20" ht="18" hidden="1" customHeight="1" x14ac:dyDescent="0.45">
      <c r="A304" s="1">
        <v>303</v>
      </c>
      <c r="C304" s="1" t="s">
        <v>374</v>
      </c>
      <c r="D304" s="1" t="s">
        <v>33</v>
      </c>
      <c r="E304" s="1" t="s">
        <v>123</v>
      </c>
      <c r="F304" s="1">
        <f>SUM(H304:P304)</f>
        <v>20</v>
      </c>
      <c r="G304" s="1"/>
      <c r="H304" s="1" t="s">
        <v>15</v>
      </c>
      <c r="I304" s="1">
        <v>2</v>
      </c>
      <c r="J304" s="1">
        <v>7</v>
      </c>
      <c r="K304" s="1" t="s">
        <v>16</v>
      </c>
      <c r="L304" s="1">
        <v>5</v>
      </c>
      <c r="M304" s="1">
        <v>3</v>
      </c>
      <c r="N304" s="1" t="s">
        <v>17</v>
      </c>
      <c r="O304" s="1">
        <v>2</v>
      </c>
      <c r="P304" s="1">
        <v>1</v>
      </c>
      <c r="T304" s="3">
        <v>9451442</v>
      </c>
    </row>
    <row r="305" spans="1:20" ht="18" hidden="1" customHeight="1" x14ac:dyDescent="0.45">
      <c r="A305" s="1">
        <v>304</v>
      </c>
      <c r="C305" s="1" t="s">
        <v>375</v>
      </c>
      <c r="D305" s="1" t="s">
        <v>33</v>
      </c>
      <c r="E305" s="1" t="s">
        <v>40</v>
      </c>
      <c r="F305" s="1">
        <f>SUM(H305:P305)</f>
        <v>17</v>
      </c>
      <c r="G305" s="1"/>
      <c r="H305" s="1" t="s">
        <v>15</v>
      </c>
      <c r="I305" s="1">
        <v>4</v>
      </c>
      <c r="J305" s="1">
        <v>2</v>
      </c>
      <c r="K305" s="1" t="s">
        <v>16</v>
      </c>
      <c r="L305" s="1">
        <v>5</v>
      </c>
      <c r="M305" s="1">
        <v>2</v>
      </c>
      <c r="N305" s="1" t="s">
        <v>17</v>
      </c>
      <c r="O305" s="1">
        <v>1</v>
      </c>
      <c r="P305" s="1">
        <v>3</v>
      </c>
      <c r="S305" s="3">
        <v>11888780</v>
      </c>
    </row>
    <row r="306" spans="1:20" ht="18" customHeight="1" x14ac:dyDescent="0.45">
      <c r="A306" s="1">
        <v>305</v>
      </c>
      <c r="C306" s="1" t="s">
        <v>376</v>
      </c>
      <c r="D306" s="1" t="s">
        <v>25</v>
      </c>
      <c r="E306" s="1" t="s">
        <v>62</v>
      </c>
      <c r="F306" s="1">
        <f>SUM(H306:P306)</f>
        <v>21</v>
      </c>
      <c r="G306" s="1"/>
      <c r="H306" s="1" t="s">
        <v>15</v>
      </c>
      <c r="I306" s="1">
        <v>6</v>
      </c>
      <c r="J306" s="1">
        <v>2</v>
      </c>
      <c r="K306" s="1" t="s">
        <v>16</v>
      </c>
      <c r="L306" s="1">
        <v>7</v>
      </c>
      <c r="M306" s="1">
        <v>1</v>
      </c>
      <c r="N306" s="1" t="s">
        <v>17</v>
      </c>
      <c r="O306" s="1">
        <v>2</v>
      </c>
      <c r="P306" s="1">
        <v>3</v>
      </c>
      <c r="S306" s="2">
        <v>9859685</v>
      </c>
      <c r="T306" s="2"/>
    </row>
    <row r="307" spans="1:20" ht="18" customHeight="1" x14ac:dyDescent="0.45">
      <c r="A307" s="1">
        <v>306</v>
      </c>
      <c r="C307" s="1" t="s">
        <v>377</v>
      </c>
      <c r="D307" s="1" t="s">
        <v>25</v>
      </c>
      <c r="E307" s="1" t="s">
        <v>64</v>
      </c>
      <c r="F307" s="1">
        <f>SUM(H307:P307)</f>
        <v>21</v>
      </c>
      <c r="G307" s="1"/>
      <c r="H307" s="1" t="s">
        <v>15</v>
      </c>
      <c r="I307" s="1">
        <v>1</v>
      </c>
      <c r="J307" s="1">
        <v>7</v>
      </c>
      <c r="K307" s="1" t="s">
        <v>16</v>
      </c>
      <c r="L307" s="1">
        <v>1</v>
      </c>
      <c r="M307" s="1">
        <v>3</v>
      </c>
      <c r="N307" s="1" t="s">
        <v>17</v>
      </c>
      <c r="O307" s="1">
        <v>8</v>
      </c>
      <c r="P307" s="1">
        <v>1</v>
      </c>
      <c r="S307" s="2">
        <v>6073210</v>
      </c>
      <c r="T307" s="2"/>
    </row>
    <row r="308" spans="1:20" ht="18" hidden="1" customHeight="1" x14ac:dyDescent="0.45">
      <c r="A308" s="1">
        <v>292</v>
      </c>
      <c r="C308" s="1" t="s">
        <v>363</v>
      </c>
      <c r="D308" s="1" t="s">
        <v>33</v>
      </c>
      <c r="E308" s="1" t="s">
        <v>100</v>
      </c>
      <c r="F308" s="1">
        <f>SUM(H308:P308)</f>
        <v>26</v>
      </c>
      <c r="G308" s="1">
        <v>1</v>
      </c>
      <c r="H308" s="1" t="s">
        <v>15</v>
      </c>
      <c r="I308" s="1">
        <v>1</v>
      </c>
      <c r="J308" s="1">
        <v>5</v>
      </c>
      <c r="K308" s="1" t="s">
        <v>16</v>
      </c>
      <c r="L308" s="1">
        <v>1</v>
      </c>
      <c r="M308" s="1">
        <v>8</v>
      </c>
      <c r="N308" s="1" t="s">
        <v>17</v>
      </c>
      <c r="O308" s="1">
        <v>1</v>
      </c>
      <c r="P308" s="1">
        <v>10</v>
      </c>
      <c r="T308" s="3">
        <v>14676760</v>
      </c>
    </row>
    <row r="309" spans="1:20" ht="18" customHeight="1" x14ac:dyDescent="0.45">
      <c r="A309" s="1">
        <v>308</v>
      </c>
      <c r="C309" s="1" t="s">
        <v>379</v>
      </c>
      <c r="D309" s="1" t="s">
        <v>25</v>
      </c>
      <c r="E309" s="1" t="s">
        <v>67</v>
      </c>
      <c r="F309" s="1">
        <f>SUM(H309:P309)</f>
        <v>16</v>
      </c>
      <c r="G309" s="1">
        <f>COUNTIF(I309:P309,1)</f>
        <v>2</v>
      </c>
      <c r="H309" s="1" t="s">
        <v>15</v>
      </c>
      <c r="I309" s="1">
        <v>3</v>
      </c>
      <c r="J309" s="1">
        <v>1</v>
      </c>
      <c r="K309" s="1" t="s">
        <v>16</v>
      </c>
      <c r="L309" s="1">
        <v>1</v>
      </c>
      <c r="M309" s="1">
        <v>2</v>
      </c>
      <c r="N309" s="1" t="s">
        <v>17</v>
      </c>
      <c r="O309" s="1">
        <v>3</v>
      </c>
      <c r="P309" s="1">
        <v>6</v>
      </c>
      <c r="S309" s="2">
        <v>310295</v>
      </c>
      <c r="T309" s="2"/>
    </row>
    <row r="310" spans="1:20" ht="18" hidden="1" customHeight="1" x14ac:dyDescent="0.45">
      <c r="A310" s="1">
        <v>309</v>
      </c>
      <c r="C310" s="1" t="s">
        <v>380</v>
      </c>
      <c r="D310" s="1" t="s">
        <v>59</v>
      </c>
      <c r="E310" s="1" t="s">
        <v>129</v>
      </c>
      <c r="F310" s="1">
        <f>SUM(H310:P310)</f>
        <v>19</v>
      </c>
      <c r="G310" s="1"/>
      <c r="H310" s="1" t="s">
        <v>15</v>
      </c>
      <c r="I310" s="1">
        <v>8</v>
      </c>
      <c r="J310" s="1">
        <v>1</v>
      </c>
      <c r="K310" s="1" t="s">
        <v>16</v>
      </c>
      <c r="L310" s="1">
        <v>3</v>
      </c>
      <c r="M310" s="1">
        <v>4</v>
      </c>
      <c r="N310" s="1" t="s">
        <v>17</v>
      </c>
      <c r="O310" s="1">
        <v>1</v>
      </c>
      <c r="P310" s="1">
        <v>2</v>
      </c>
      <c r="S310" s="3">
        <v>4304225</v>
      </c>
    </row>
    <row r="311" spans="1:20" ht="18" hidden="1" customHeight="1" x14ac:dyDescent="0.45">
      <c r="A311" s="1">
        <v>310</v>
      </c>
      <c r="C311" s="1" t="s">
        <v>381</v>
      </c>
      <c r="D311" s="1" t="s">
        <v>59</v>
      </c>
      <c r="E311" s="1" t="s">
        <v>131</v>
      </c>
      <c r="F311" s="1">
        <f>SUM(H311:P311)</f>
        <v>16</v>
      </c>
      <c r="G311" s="1">
        <f>COUNTIF(I311:P311,1)</f>
        <v>2</v>
      </c>
      <c r="H311" s="1" t="s">
        <v>15</v>
      </c>
      <c r="I311" s="1">
        <v>1</v>
      </c>
      <c r="J311" s="1">
        <v>3</v>
      </c>
      <c r="K311" s="1" t="s">
        <v>16</v>
      </c>
      <c r="L311" s="1">
        <v>2</v>
      </c>
      <c r="M311" s="1">
        <v>4</v>
      </c>
      <c r="N311" s="1" t="s">
        <v>17</v>
      </c>
      <c r="O311" s="1">
        <v>1</v>
      </c>
      <c r="P311" s="1">
        <v>5</v>
      </c>
      <c r="Q311" s="1">
        <v>1</v>
      </c>
      <c r="S311" s="3">
        <v>108210</v>
      </c>
    </row>
    <row r="312" spans="1:20" ht="18" hidden="1" customHeight="1" x14ac:dyDescent="0.45">
      <c r="A312" s="1">
        <v>311</v>
      </c>
      <c r="C312" s="1" t="s">
        <v>382</v>
      </c>
      <c r="D312" s="1" t="s">
        <v>59</v>
      </c>
      <c r="E312" s="1" t="s">
        <v>133</v>
      </c>
      <c r="F312" s="1">
        <f>SUM(H312:P312)</f>
        <v>29</v>
      </c>
      <c r="G312" s="1">
        <f>COUNTIF(I312:P312,1)</f>
        <v>1</v>
      </c>
      <c r="H312" s="1" t="s">
        <v>15</v>
      </c>
      <c r="I312" s="1">
        <v>1</v>
      </c>
      <c r="J312" s="1">
        <v>8</v>
      </c>
      <c r="K312" s="1" t="s">
        <v>16</v>
      </c>
      <c r="L312" s="1">
        <v>6</v>
      </c>
      <c r="M312" s="1">
        <v>5</v>
      </c>
      <c r="N312" s="1" t="s">
        <v>17</v>
      </c>
      <c r="O312" s="1">
        <v>3</v>
      </c>
      <c r="P312" s="1">
        <v>6</v>
      </c>
      <c r="T312" s="3">
        <v>13064156</v>
      </c>
    </row>
    <row r="313" spans="1:20" ht="18" hidden="1" customHeight="1" x14ac:dyDescent="0.45">
      <c r="A313" s="1">
        <v>312</v>
      </c>
      <c r="C313" s="1" t="s">
        <v>383</v>
      </c>
      <c r="D313" s="1" t="s">
        <v>59</v>
      </c>
      <c r="E313" s="1" t="s">
        <v>135</v>
      </c>
      <c r="F313" s="1">
        <f>SUM(H313:P313)</f>
        <v>30</v>
      </c>
      <c r="G313" s="1"/>
      <c r="H313" s="1" t="s">
        <v>15</v>
      </c>
      <c r="I313" s="1">
        <v>8</v>
      </c>
      <c r="J313" s="1">
        <v>2</v>
      </c>
      <c r="K313" s="1" t="s">
        <v>16</v>
      </c>
      <c r="L313" s="1">
        <v>7</v>
      </c>
      <c r="M313" s="1">
        <v>10</v>
      </c>
      <c r="N313" s="1" t="s">
        <v>17</v>
      </c>
      <c r="O313" s="1">
        <v>1</v>
      </c>
      <c r="P313" s="1">
        <v>2</v>
      </c>
      <c r="S313" s="3">
        <v>12109755</v>
      </c>
    </row>
    <row r="314" spans="1:20" ht="18" customHeight="1" x14ac:dyDescent="0.45">
      <c r="S314" s="2"/>
      <c r="T314" s="2"/>
    </row>
    <row r="315" spans="1:20" ht="18" customHeight="1" x14ac:dyDescent="0.45">
      <c r="S315" s="2"/>
      <c r="T315" s="2"/>
    </row>
    <row r="316" spans="1:20" ht="18" customHeight="1" x14ac:dyDescent="0.45">
      <c r="S316" s="2"/>
      <c r="T316" s="2"/>
    </row>
    <row r="317" spans="1:20" ht="18" customHeight="1" x14ac:dyDescent="0.45">
      <c r="S317" s="2"/>
      <c r="T317" s="2"/>
    </row>
    <row r="318" spans="1:20" ht="18" customHeight="1" x14ac:dyDescent="0.45">
      <c r="S318" s="2"/>
      <c r="T318" s="2"/>
    </row>
    <row r="319" spans="1:20" ht="18" customHeight="1" x14ac:dyDescent="0.45">
      <c r="S319" s="2"/>
      <c r="T319" s="2"/>
    </row>
    <row r="320" spans="1:20" ht="18" customHeight="1" x14ac:dyDescent="0.45">
      <c r="S320" s="2"/>
      <c r="T320" s="2"/>
    </row>
    <row r="321" spans="19:20" ht="18" customHeight="1" x14ac:dyDescent="0.45">
      <c r="S321" s="2"/>
      <c r="T321" s="2"/>
    </row>
    <row r="322" spans="19:20" ht="18" customHeight="1" x14ac:dyDescent="0.45">
      <c r="S322" s="2"/>
      <c r="T322" s="2"/>
    </row>
    <row r="323" spans="19:20" ht="18" customHeight="1" x14ac:dyDescent="0.45">
      <c r="S323" s="2"/>
      <c r="T323" s="2"/>
    </row>
    <row r="324" spans="19:20" ht="18" customHeight="1" x14ac:dyDescent="0.45">
      <c r="S324" s="2"/>
      <c r="T324" s="2"/>
    </row>
    <row r="325" spans="19:20" ht="18" customHeight="1" x14ac:dyDescent="0.45">
      <c r="S325" s="2"/>
      <c r="T325" s="2"/>
    </row>
    <row r="326" spans="19:20" ht="18" customHeight="1" x14ac:dyDescent="0.45">
      <c r="S326" s="2"/>
      <c r="T326" s="2"/>
    </row>
    <row r="327" spans="19:20" ht="18" customHeight="1" x14ac:dyDescent="0.45">
      <c r="S327" s="2"/>
      <c r="T327" s="2"/>
    </row>
    <row r="328" spans="19:20" ht="18" customHeight="1" x14ac:dyDescent="0.45">
      <c r="S328" s="2"/>
      <c r="T328" s="2"/>
    </row>
    <row r="329" spans="19:20" ht="18" customHeight="1" x14ac:dyDescent="0.45">
      <c r="S329" s="2"/>
      <c r="T329" s="2"/>
    </row>
    <row r="330" spans="19:20" ht="18" customHeight="1" x14ac:dyDescent="0.45">
      <c r="S330" s="2"/>
      <c r="T330" s="2"/>
    </row>
    <row r="331" spans="19:20" ht="18" customHeight="1" x14ac:dyDescent="0.45">
      <c r="S331" s="2"/>
      <c r="T331" s="2"/>
    </row>
    <row r="332" spans="19:20" ht="18" customHeight="1" x14ac:dyDescent="0.45">
      <c r="S332" s="2"/>
      <c r="T332" s="2"/>
    </row>
    <row r="333" spans="19:20" ht="18" customHeight="1" x14ac:dyDescent="0.45">
      <c r="S333" s="2"/>
      <c r="T333" s="2"/>
    </row>
    <row r="334" spans="19:20" ht="18" customHeight="1" x14ac:dyDescent="0.45">
      <c r="S334" s="2"/>
      <c r="T334" s="2"/>
    </row>
    <row r="335" spans="19:20" ht="18" customHeight="1" x14ac:dyDescent="0.45">
      <c r="S335" s="2"/>
      <c r="T335" s="2"/>
    </row>
    <row r="336" spans="19:20" ht="18" customHeight="1" x14ac:dyDescent="0.45">
      <c r="S336" s="2"/>
      <c r="T336" s="2"/>
    </row>
    <row r="337" spans="19:20" ht="18" customHeight="1" x14ac:dyDescent="0.45">
      <c r="S337" s="2"/>
      <c r="T337" s="2"/>
    </row>
    <row r="338" spans="19:20" ht="18" customHeight="1" x14ac:dyDescent="0.45">
      <c r="S338" s="2"/>
      <c r="T338" s="2"/>
    </row>
    <row r="339" spans="19:20" ht="18" customHeight="1" x14ac:dyDescent="0.45">
      <c r="S339" s="2"/>
      <c r="T339" s="2"/>
    </row>
    <row r="340" spans="19:20" ht="18" customHeight="1" x14ac:dyDescent="0.45">
      <c r="S340" s="2"/>
      <c r="T340" s="2"/>
    </row>
    <row r="341" spans="19:20" ht="18" customHeight="1" x14ac:dyDescent="0.45">
      <c r="S341" s="2"/>
      <c r="T341" s="2"/>
    </row>
    <row r="342" spans="19:20" ht="18" customHeight="1" x14ac:dyDescent="0.45">
      <c r="S342" s="2"/>
      <c r="T342" s="2"/>
    </row>
    <row r="343" spans="19:20" ht="18" customHeight="1" x14ac:dyDescent="0.45">
      <c r="S343" s="2"/>
      <c r="T343" s="2"/>
    </row>
    <row r="344" spans="19:20" ht="18" customHeight="1" x14ac:dyDescent="0.45">
      <c r="S344" s="2"/>
      <c r="T344" s="2"/>
    </row>
    <row r="345" spans="19:20" ht="18" customHeight="1" x14ac:dyDescent="0.45">
      <c r="S345" s="2"/>
      <c r="T345" s="2"/>
    </row>
    <row r="346" spans="19:20" ht="18" customHeight="1" x14ac:dyDescent="0.45">
      <c r="S346" s="2"/>
      <c r="T346" s="2"/>
    </row>
    <row r="347" spans="19:20" ht="18" customHeight="1" x14ac:dyDescent="0.45">
      <c r="S347" s="2"/>
      <c r="T347" s="2"/>
    </row>
    <row r="348" spans="19:20" ht="18" customHeight="1" x14ac:dyDescent="0.45">
      <c r="S348" s="2"/>
      <c r="T348" s="2"/>
    </row>
    <row r="349" spans="19:20" ht="18" customHeight="1" x14ac:dyDescent="0.45">
      <c r="S349" s="2"/>
      <c r="T349" s="2"/>
    </row>
    <row r="350" spans="19:20" ht="18" customHeight="1" x14ac:dyDescent="0.45">
      <c r="S350" s="2"/>
      <c r="T350" s="2"/>
    </row>
    <row r="351" spans="19:20" ht="18" customHeight="1" x14ac:dyDescent="0.45">
      <c r="S351" s="2"/>
      <c r="T351" s="2"/>
    </row>
    <row r="352" spans="19:20" ht="18" customHeight="1" x14ac:dyDescent="0.45">
      <c r="S352" s="2"/>
      <c r="T352" s="2"/>
    </row>
    <row r="353" spans="19:20" ht="18" customHeight="1" x14ac:dyDescent="0.45">
      <c r="S353" s="2"/>
      <c r="T353" s="2"/>
    </row>
    <row r="354" spans="19:20" ht="18" customHeight="1" x14ac:dyDescent="0.45">
      <c r="S354" s="2"/>
      <c r="T354" s="2"/>
    </row>
    <row r="355" spans="19:20" ht="18" customHeight="1" x14ac:dyDescent="0.45">
      <c r="S355" s="2"/>
      <c r="T355" s="2"/>
    </row>
    <row r="356" spans="19:20" ht="18" customHeight="1" x14ac:dyDescent="0.45">
      <c r="S356" s="2"/>
      <c r="T356" s="2"/>
    </row>
    <row r="357" spans="19:20" ht="18" customHeight="1" x14ac:dyDescent="0.45">
      <c r="S357" s="2"/>
      <c r="T357" s="2"/>
    </row>
    <row r="358" spans="19:20" ht="18" customHeight="1" x14ac:dyDescent="0.45">
      <c r="S358" s="2"/>
      <c r="T358" s="2"/>
    </row>
    <row r="359" spans="19:20" ht="18" customHeight="1" x14ac:dyDescent="0.45">
      <c r="S359" s="2"/>
      <c r="T359" s="2"/>
    </row>
    <row r="360" spans="19:20" ht="18" customHeight="1" x14ac:dyDescent="0.45">
      <c r="S360" s="2"/>
      <c r="T360" s="2"/>
    </row>
    <row r="361" spans="19:20" ht="18" customHeight="1" x14ac:dyDescent="0.45">
      <c r="S361" s="2"/>
      <c r="T361" s="2"/>
    </row>
    <row r="362" spans="19:20" ht="18" customHeight="1" x14ac:dyDescent="0.45">
      <c r="S362" s="2"/>
      <c r="T362" s="2"/>
    </row>
    <row r="363" spans="19:20" ht="18" customHeight="1" x14ac:dyDescent="0.45">
      <c r="S363" s="2"/>
      <c r="T363" s="2"/>
    </row>
    <row r="364" spans="19:20" ht="18" customHeight="1" x14ac:dyDescent="0.45">
      <c r="S364" s="2"/>
      <c r="T364" s="2"/>
    </row>
    <row r="365" spans="19:20" ht="18" customHeight="1" x14ac:dyDescent="0.45">
      <c r="S365" s="2"/>
      <c r="T365" s="2"/>
    </row>
    <row r="366" spans="19:20" ht="18" customHeight="1" x14ac:dyDescent="0.45">
      <c r="S366" s="2"/>
      <c r="T366" s="2"/>
    </row>
    <row r="367" spans="19:20" ht="18" customHeight="1" x14ac:dyDescent="0.45">
      <c r="S367" s="2"/>
      <c r="T367" s="2"/>
    </row>
    <row r="368" spans="19:20" ht="18" customHeight="1" x14ac:dyDescent="0.45">
      <c r="S368" s="2"/>
      <c r="T368" s="2"/>
    </row>
    <row r="369" spans="19:20" ht="18" customHeight="1" x14ac:dyDescent="0.45">
      <c r="S369" s="2"/>
      <c r="T369" s="2"/>
    </row>
    <row r="370" spans="19:20" ht="18" customHeight="1" x14ac:dyDescent="0.45">
      <c r="S370" s="2"/>
      <c r="T370" s="2"/>
    </row>
    <row r="371" spans="19:20" ht="18" customHeight="1" x14ac:dyDescent="0.45">
      <c r="S371" s="2"/>
      <c r="T371" s="2"/>
    </row>
    <row r="372" spans="19:20" ht="18" customHeight="1" x14ac:dyDescent="0.45">
      <c r="S372" s="2"/>
      <c r="T372" s="2"/>
    </row>
    <row r="373" spans="19:20" ht="18" customHeight="1" x14ac:dyDescent="0.45">
      <c r="S373" s="2"/>
      <c r="T373" s="2"/>
    </row>
    <row r="374" spans="19:20" ht="18" customHeight="1" x14ac:dyDescent="0.45">
      <c r="S374" s="2"/>
      <c r="T374" s="2"/>
    </row>
    <row r="375" spans="19:20" ht="18" customHeight="1" x14ac:dyDescent="0.45">
      <c r="S375" s="2"/>
      <c r="T375" s="2"/>
    </row>
    <row r="376" spans="19:20" ht="18" customHeight="1" x14ac:dyDescent="0.45">
      <c r="S376" s="2"/>
      <c r="T376" s="2"/>
    </row>
    <row r="377" spans="19:20" ht="18" customHeight="1" x14ac:dyDescent="0.45">
      <c r="S377" s="2"/>
      <c r="T377" s="2"/>
    </row>
    <row r="378" spans="19:20" ht="18" customHeight="1" x14ac:dyDescent="0.45">
      <c r="S378" s="2"/>
      <c r="T378" s="2"/>
    </row>
    <row r="379" spans="19:20" ht="18" customHeight="1" x14ac:dyDescent="0.45">
      <c r="S379" s="2"/>
      <c r="T379" s="2"/>
    </row>
    <row r="380" spans="19:20" ht="18" customHeight="1" x14ac:dyDescent="0.45">
      <c r="S380" s="2"/>
      <c r="T380" s="2"/>
    </row>
    <row r="381" spans="19:20" ht="18" customHeight="1" x14ac:dyDescent="0.45">
      <c r="S381" s="2"/>
      <c r="T381" s="2"/>
    </row>
    <row r="382" spans="19:20" ht="18" customHeight="1" x14ac:dyDescent="0.45">
      <c r="S382" s="2"/>
      <c r="T382" s="2"/>
    </row>
    <row r="383" spans="19:20" ht="18" customHeight="1" x14ac:dyDescent="0.45">
      <c r="S383" s="2"/>
      <c r="T383" s="2"/>
    </row>
    <row r="384" spans="19:20" ht="18" customHeight="1" x14ac:dyDescent="0.45">
      <c r="S384" s="2"/>
      <c r="T384" s="2"/>
    </row>
    <row r="385" spans="19:20" ht="18" customHeight="1" x14ac:dyDescent="0.45">
      <c r="S385" s="2"/>
      <c r="T385" s="2"/>
    </row>
    <row r="386" spans="19:20" ht="18" customHeight="1" x14ac:dyDescent="0.45">
      <c r="S386" s="2"/>
      <c r="T386" s="2"/>
    </row>
    <row r="387" spans="19:20" ht="18" customHeight="1" x14ac:dyDescent="0.45">
      <c r="S387" s="2"/>
      <c r="T387" s="2"/>
    </row>
    <row r="388" spans="19:20" ht="18" customHeight="1" x14ac:dyDescent="0.45">
      <c r="S388" s="2"/>
      <c r="T388" s="2"/>
    </row>
    <row r="389" spans="19:20" ht="18" customHeight="1" x14ac:dyDescent="0.45">
      <c r="S389" s="2"/>
      <c r="T389" s="2"/>
    </row>
    <row r="390" spans="19:20" ht="18" customHeight="1" x14ac:dyDescent="0.45">
      <c r="S390" s="2"/>
      <c r="T390" s="2"/>
    </row>
    <row r="391" spans="19:20" ht="18" customHeight="1" x14ac:dyDescent="0.45">
      <c r="S391" s="2"/>
      <c r="T391" s="2"/>
    </row>
    <row r="392" spans="19:20" ht="18" customHeight="1" x14ac:dyDescent="0.45">
      <c r="S392" s="2"/>
      <c r="T392" s="2"/>
    </row>
    <row r="393" spans="19:20" ht="18" customHeight="1" x14ac:dyDescent="0.45">
      <c r="S393" s="2"/>
      <c r="T393" s="2"/>
    </row>
    <row r="394" spans="19:20" ht="18" customHeight="1" x14ac:dyDescent="0.45">
      <c r="S394" s="2"/>
      <c r="T394" s="2"/>
    </row>
    <row r="395" spans="19:20" ht="18" customHeight="1" x14ac:dyDescent="0.45">
      <c r="S395" s="2"/>
      <c r="T395" s="2"/>
    </row>
    <row r="396" spans="19:20" ht="18" customHeight="1" x14ac:dyDescent="0.45">
      <c r="S396" s="2"/>
      <c r="T396" s="2"/>
    </row>
    <row r="397" spans="19:20" ht="18" customHeight="1" x14ac:dyDescent="0.45">
      <c r="S397" s="2"/>
      <c r="T397" s="2"/>
    </row>
    <row r="398" spans="19:20" ht="18" customHeight="1" x14ac:dyDescent="0.45">
      <c r="S398" s="2"/>
      <c r="T398" s="2"/>
    </row>
    <row r="399" spans="19:20" ht="18" customHeight="1" x14ac:dyDescent="0.45">
      <c r="S399" s="2"/>
      <c r="T399" s="2"/>
    </row>
    <row r="400" spans="19:20" ht="18" customHeight="1" x14ac:dyDescent="0.45">
      <c r="S400" s="2"/>
      <c r="T400" s="2"/>
    </row>
    <row r="401" spans="19:20" ht="18" customHeight="1" x14ac:dyDescent="0.45">
      <c r="S401" s="2"/>
      <c r="T401" s="2"/>
    </row>
    <row r="402" spans="19:20" ht="18" customHeight="1" x14ac:dyDescent="0.45">
      <c r="S402" s="2"/>
      <c r="T402" s="2"/>
    </row>
    <row r="403" spans="19:20" ht="18" customHeight="1" x14ac:dyDescent="0.45">
      <c r="S403" s="2"/>
      <c r="T403" s="2"/>
    </row>
    <row r="404" spans="19:20" ht="18" customHeight="1" x14ac:dyDescent="0.45">
      <c r="S404" s="2"/>
      <c r="T404" s="2"/>
    </row>
    <row r="405" spans="19:20" ht="18" customHeight="1" x14ac:dyDescent="0.45">
      <c r="S405" s="2"/>
      <c r="T405" s="2"/>
    </row>
    <row r="406" spans="19:20" ht="18" customHeight="1" x14ac:dyDescent="0.45">
      <c r="S406" s="2"/>
      <c r="T406" s="2"/>
    </row>
    <row r="407" spans="19:20" ht="18" customHeight="1" x14ac:dyDescent="0.45">
      <c r="S407" s="2"/>
      <c r="T407" s="2"/>
    </row>
    <row r="408" spans="19:20" ht="18" customHeight="1" x14ac:dyDescent="0.45">
      <c r="S408" s="2"/>
      <c r="T408" s="2"/>
    </row>
    <row r="409" spans="19:20" ht="18" customHeight="1" x14ac:dyDescent="0.45">
      <c r="S409" s="2"/>
      <c r="T409" s="2"/>
    </row>
    <row r="410" spans="19:20" ht="18" customHeight="1" x14ac:dyDescent="0.45">
      <c r="S410" s="2"/>
      <c r="T410" s="2"/>
    </row>
    <row r="411" spans="19:20" ht="18" customHeight="1" x14ac:dyDescent="0.45">
      <c r="S411" s="2"/>
      <c r="T411" s="2"/>
    </row>
    <row r="412" spans="19:20" ht="18" customHeight="1" x14ac:dyDescent="0.45">
      <c r="S412" s="2"/>
      <c r="T412" s="2"/>
    </row>
    <row r="413" spans="19:20" ht="18" customHeight="1" x14ac:dyDescent="0.45">
      <c r="S413" s="2"/>
      <c r="T413" s="2"/>
    </row>
    <row r="414" spans="19:20" ht="18" customHeight="1" x14ac:dyDescent="0.45">
      <c r="S414" s="2"/>
      <c r="T414" s="2"/>
    </row>
    <row r="415" spans="19:20" ht="18" customHeight="1" x14ac:dyDescent="0.45">
      <c r="S415" s="2"/>
      <c r="T415" s="2"/>
    </row>
    <row r="416" spans="19:20" ht="18" customHeight="1" x14ac:dyDescent="0.45">
      <c r="S416" s="2"/>
      <c r="T416" s="2"/>
    </row>
    <row r="417" spans="19:20" ht="18" customHeight="1" x14ac:dyDescent="0.45">
      <c r="S417" s="2"/>
      <c r="T417" s="2"/>
    </row>
    <row r="418" spans="19:20" ht="18" customHeight="1" x14ac:dyDescent="0.45">
      <c r="S418" s="2"/>
      <c r="T418" s="2"/>
    </row>
    <row r="419" spans="19:20" ht="18" customHeight="1" x14ac:dyDescent="0.45">
      <c r="S419" s="2"/>
      <c r="T419" s="2"/>
    </row>
    <row r="420" spans="19:20" ht="18" customHeight="1" x14ac:dyDescent="0.45">
      <c r="S420" s="2"/>
      <c r="T420" s="2"/>
    </row>
    <row r="421" spans="19:20" ht="18" customHeight="1" x14ac:dyDescent="0.45">
      <c r="S421" s="2"/>
      <c r="T421" s="2"/>
    </row>
    <row r="422" spans="19:20" ht="18" customHeight="1" x14ac:dyDescent="0.45">
      <c r="S422" s="2"/>
      <c r="T422" s="2"/>
    </row>
    <row r="423" spans="19:20" ht="18" customHeight="1" x14ac:dyDescent="0.45">
      <c r="S423" s="2"/>
      <c r="T423" s="2"/>
    </row>
    <row r="424" spans="19:20" ht="18" customHeight="1" x14ac:dyDescent="0.45">
      <c r="S424" s="2"/>
      <c r="T424" s="2"/>
    </row>
    <row r="425" spans="19:20" ht="18" customHeight="1" x14ac:dyDescent="0.45">
      <c r="S425" s="2"/>
      <c r="T425" s="2"/>
    </row>
    <row r="426" spans="19:20" ht="18" customHeight="1" x14ac:dyDescent="0.45">
      <c r="S426" s="2"/>
      <c r="T426" s="2"/>
    </row>
    <row r="427" spans="19:20" ht="18" customHeight="1" x14ac:dyDescent="0.45">
      <c r="S427" s="2"/>
      <c r="T427" s="2"/>
    </row>
    <row r="428" spans="19:20" ht="18" customHeight="1" x14ac:dyDescent="0.45">
      <c r="S428" s="2"/>
      <c r="T428" s="2"/>
    </row>
    <row r="429" spans="19:20" ht="18" customHeight="1" x14ac:dyDescent="0.45">
      <c r="S429" s="2"/>
      <c r="T429" s="2"/>
    </row>
    <row r="430" spans="19:20" ht="18" customHeight="1" x14ac:dyDescent="0.45">
      <c r="S430" s="2"/>
      <c r="T430" s="2"/>
    </row>
    <row r="431" spans="19:20" ht="18" customHeight="1" x14ac:dyDescent="0.45">
      <c r="S431" s="2"/>
      <c r="T431" s="2"/>
    </row>
    <row r="432" spans="19:20" ht="18" customHeight="1" x14ac:dyDescent="0.45">
      <c r="S432" s="2"/>
      <c r="T432" s="2"/>
    </row>
    <row r="433" spans="19:20" ht="18" customHeight="1" x14ac:dyDescent="0.45">
      <c r="S433" s="2"/>
      <c r="T433" s="2"/>
    </row>
    <row r="434" spans="19:20" ht="18" customHeight="1" x14ac:dyDescent="0.45">
      <c r="S434" s="2"/>
      <c r="T434" s="2"/>
    </row>
    <row r="435" spans="19:20" ht="18" customHeight="1" x14ac:dyDescent="0.45">
      <c r="S435" s="2"/>
      <c r="T435" s="2"/>
    </row>
    <row r="436" spans="19:20" ht="18" customHeight="1" x14ac:dyDescent="0.45">
      <c r="S436" s="2"/>
      <c r="T436" s="2"/>
    </row>
    <row r="437" spans="19:20" ht="18" customHeight="1" x14ac:dyDescent="0.45">
      <c r="S437" s="2"/>
      <c r="T437" s="2"/>
    </row>
    <row r="438" spans="19:20" ht="18" customHeight="1" x14ac:dyDescent="0.45">
      <c r="S438" s="2"/>
      <c r="T438" s="2"/>
    </row>
    <row r="439" spans="19:20" ht="18" customHeight="1" x14ac:dyDescent="0.45">
      <c r="S439" s="2"/>
      <c r="T439" s="2"/>
    </row>
    <row r="440" spans="19:20" ht="18" customHeight="1" x14ac:dyDescent="0.45">
      <c r="S440" s="2"/>
      <c r="T440" s="2"/>
    </row>
    <row r="441" spans="19:20" ht="18" customHeight="1" x14ac:dyDescent="0.45">
      <c r="S441" s="2"/>
      <c r="T441" s="2"/>
    </row>
    <row r="442" spans="19:20" ht="18" customHeight="1" x14ac:dyDescent="0.45">
      <c r="S442" s="2"/>
      <c r="T442" s="2"/>
    </row>
    <row r="443" spans="19:20" ht="18" customHeight="1" x14ac:dyDescent="0.45">
      <c r="S443" s="2"/>
      <c r="T443" s="2"/>
    </row>
    <row r="444" spans="19:20" ht="18" customHeight="1" x14ac:dyDescent="0.45">
      <c r="S444" s="2"/>
      <c r="T444" s="2"/>
    </row>
    <row r="445" spans="19:20" ht="18" customHeight="1" x14ac:dyDescent="0.45">
      <c r="S445" s="2"/>
      <c r="T445" s="2"/>
    </row>
    <row r="446" spans="19:20" ht="18" customHeight="1" x14ac:dyDescent="0.45">
      <c r="S446" s="2"/>
      <c r="T446" s="2"/>
    </row>
    <row r="447" spans="19:20" ht="18" customHeight="1" x14ac:dyDescent="0.45">
      <c r="S447" s="2"/>
      <c r="T447" s="2"/>
    </row>
    <row r="448" spans="19:20" ht="18" customHeight="1" x14ac:dyDescent="0.45">
      <c r="S448" s="2"/>
      <c r="T448" s="2"/>
    </row>
    <row r="449" spans="19:20" ht="18" customHeight="1" x14ac:dyDescent="0.45">
      <c r="S449" s="2"/>
      <c r="T449" s="2"/>
    </row>
    <row r="450" spans="19:20" ht="18" customHeight="1" x14ac:dyDescent="0.45">
      <c r="S450" s="2"/>
      <c r="T450" s="2"/>
    </row>
    <row r="451" spans="19:20" ht="18" customHeight="1" x14ac:dyDescent="0.45">
      <c r="S451" s="2"/>
      <c r="T451" s="2"/>
    </row>
    <row r="452" spans="19:20" ht="18" customHeight="1" x14ac:dyDescent="0.45">
      <c r="S452" s="2"/>
      <c r="T452" s="2"/>
    </row>
    <row r="453" spans="19:20" ht="18" customHeight="1" x14ac:dyDescent="0.45">
      <c r="S453" s="2"/>
      <c r="T453" s="2"/>
    </row>
    <row r="454" spans="19:20" ht="18" customHeight="1" x14ac:dyDescent="0.45">
      <c r="S454" s="2"/>
      <c r="T454" s="2"/>
    </row>
    <row r="455" spans="19:20" ht="18" customHeight="1" x14ac:dyDescent="0.45">
      <c r="S455" s="2"/>
      <c r="T455" s="2"/>
    </row>
    <row r="456" spans="19:20" ht="18" customHeight="1" x14ac:dyDescent="0.45">
      <c r="S456" s="2"/>
      <c r="T456" s="2"/>
    </row>
    <row r="457" spans="19:20" ht="18" customHeight="1" x14ac:dyDescent="0.45">
      <c r="S457" s="2"/>
      <c r="T457" s="2"/>
    </row>
    <row r="458" spans="19:20" ht="18" customHeight="1" x14ac:dyDescent="0.45">
      <c r="S458" s="2"/>
      <c r="T458" s="2"/>
    </row>
    <row r="459" spans="19:20" ht="18" customHeight="1" x14ac:dyDescent="0.45">
      <c r="S459" s="2"/>
      <c r="T459" s="2"/>
    </row>
    <row r="460" spans="19:20" ht="18" customHeight="1" x14ac:dyDescent="0.45">
      <c r="S460" s="2"/>
      <c r="T460" s="2"/>
    </row>
    <row r="461" spans="19:20" ht="18" customHeight="1" x14ac:dyDescent="0.45">
      <c r="S461" s="2"/>
      <c r="T461" s="2"/>
    </row>
    <row r="462" spans="19:20" ht="18" customHeight="1" x14ac:dyDescent="0.45">
      <c r="S462" s="2"/>
      <c r="T462" s="2"/>
    </row>
    <row r="463" spans="19:20" ht="18" customHeight="1" x14ac:dyDescent="0.45">
      <c r="S463" s="2"/>
      <c r="T463" s="2"/>
    </row>
    <row r="464" spans="19:20" ht="18" customHeight="1" x14ac:dyDescent="0.45">
      <c r="S464" s="2"/>
      <c r="T464" s="2"/>
    </row>
    <row r="465" spans="19:20" ht="18" customHeight="1" x14ac:dyDescent="0.45">
      <c r="S465" s="2"/>
      <c r="T465" s="2"/>
    </row>
    <row r="466" spans="19:20" ht="18" customHeight="1" x14ac:dyDescent="0.45">
      <c r="S466" s="2"/>
      <c r="T466" s="2"/>
    </row>
    <row r="467" spans="19:20" ht="18" customHeight="1" x14ac:dyDescent="0.45">
      <c r="S467" s="2"/>
      <c r="T467" s="2"/>
    </row>
    <row r="468" spans="19:20" ht="18" customHeight="1" x14ac:dyDescent="0.45">
      <c r="S468" s="2"/>
      <c r="T468" s="2"/>
    </row>
    <row r="469" spans="19:20" ht="18" customHeight="1" x14ac:dyDescent="0.45">
      <c r="S469" s="2"/>
      <c r="T469" s="2"/>
    </row>
    <row r="470" spans="19:20" ht="18" customHeight="1" x14ac:dyDescent="0.45">
      <c r="S470" s="2"/>
      <c r="T470" s="2"/>
    </row>
    <row r="471" spans="19:20" ht="18" customHeight="1" x14ac:dyDescent="0.45">
      <c r="S471" s="2"/>
      <c r="T471" s="2"/>
    </row>
    <row r="472" spans="19:20" ht="18" customHeight="1" x14ac:dyDescent="0.45">
      <c r="S472" s="2"/>
      <c r="T472" s="2"/>
    </row>
    <row r="473" spans="19:20" ht="18" customHeight="1" x14ac:dyDescent="0.45">
      <c r="S473" s="2"/>
      <c r="T473" s="2"/>
    </row>
    <row r="474" spans="19:20" ht="18" customHeight="1" x14ac:dyDescent="0.45">
      <c r="S474" s="2"/>
      <c r="T474" s="2"/>
    </row>
    <row r="475" spans="19:20" ht="18" customHeight="1" x14ac:dyDescent="0.45">
      <c r="S475" s="2"/>
      <c r="T475" s="2"/>
    </row>
    <row r="476" spans="19:20" ht="18" customHeight="1" x14ac:dyDescent="0.45">
      <c r="S476" s="2"/>
      <c r="T476" s="2"/>
    </row>
    <row r="477" spans="19:20" ht="18" customHeight="1" x14ac:dyDescent="0.45">
      <c r="S477" s="2"/>
      <c r="T477" s="2"/>
    </row>
    <row r="478" spans="19:20" ht="18" customHeight="1" x14ac:dyDescent="0.45">
      <c r="S478" s="2"/>
      <c r="T478" s="2"/>
    </row>
    <row r="479" spans="19:20" ht="18" customHeight="1" x14ac:dyDescent="0.45">
      <c r="S479" s="2"/>
      <c r="T479" s="2"/>
    </row>
    <row r="480" spans="19:20" ht="18" customHeight="1" x14ac:dyDescent="0.45">
      <c r="S480" s="2"/>
      <c r="T480" s="2"/>
    </row>
    <row r="481" spans="19:20" ht="18" customHeight="1" x14ac:dyDescent="0.45">
      <c r="S481" s="2"/>
      <c r="T481" s="2"/>
    </row>
    <row r="482" spans="19:20" ht="18" customHeight="1" x14ac:dyDescent="0.45">
      <c r="S482" s="2"/>
      <c r="T482" s="2"/>
    </row>
    <row r="483" spans="19:20" ht="18" customHeight="1" x14ac:dyDescent="0.45">
      <c r="S483" s="2"/>
      <c r="T483" s="2"/>
    </row>
    <row r="484" spans="19:20" ht="18" customHeight="1" x14ac:dyDescent="0.45">
      <c r="S484" s="2"/>
      <c r="T484" s="2"/>
    </row>
    <row r="485" spans="19:20" ht="18" customHeight="1" x14ac:dyDescent="0.45">
      <c r="S485" s="2"/>
      <c r="T485" s="2"/>
    </row>
    <row r="486" spans="19:20" ht="18" customHeight="1" x14ac:dyDescent="0.45">
      <c r="S486" s="2"/>
      <c r="T486" s="2"/>
    </row>
    <row r="487" spans="19:20" ht="18" customHeight="1" x14ac:dyDescent="0.45">
      <c r="S487" s="2"/>
      <c r="T487" s="2"/>
    </row>
    <row r="488" spans="19:20" ht="18" customHeight="1" x14ac:dyDescent="0.45">
      <c r="S488" s="2"/>
      <c r="T488" s="2"/>
    </row>
    <row r="489" spans="19:20" ht="18" customHeight="1" x14ac:dyDescent="0.45">
      <c r="S489" s="2"/>
      <c r="T489" s="2"/>
    </row>
    <row r="490" spans="19:20" ht="18" customHeight="1" x14ac:dyDescent="0.45">
      <c r="S490" s="2"/>
      <c r="T490" s="2"/>
    </row>
    <row r="491" spans="19:20" ht="18" customHeight="1" x14ac:dyDescent="0.45">
      <c r="S491" s="2"/>
      <c r="T491" s="2"/>
    </row>
    <row r="492" spans="19:20" ht="18" customHeight="1" x14ac:dyDescent="0.45">
      <c r="S492" s="2"/>
      <c r="T492" s="2"/>
    </row>
    <row r="493" spans="19:20" ht="18" customHeight="1" x14ac:dyDescent="0.45">
      <c r="S493" s="2"/>
      <c r="T493" s="2"/>
    </row>
    <row r="494" spans="19:20" ht="18" customHeight="1" x14ac:dyDescent="0.45">
      <c r="S494" s="2"/>
      <c r="T494" s="2"/>
    </row>
    <row r="495" spans="19:20" ht="18" customHeight="1" x14ac:dyDescent="0.45">
      <c r="S495" s="2"/>
      <c r="T495" s="2"/>
    </row>
    <row r="496" spans="19:20" ht="18" customHeight="1" x14ac:dyDescent="0.45">
      <c r="S496" s="2"/>
      <c r="T496" s="2"/>
    </row>
    <row r="497" spans="19:20" ht="18" customHeight="1" x14ac:dyDescent="0.45">
      <c r="S497" s="2"/>
      <c r="T497" s="2"/>
    </row>
    <row r="498" spans="19:20" ht="18" customHeight="1" x14ac:dyDescent="0.45">
      <c r="S498" s="2"/>
      <c r="T498" s="2"/>
    </row>
    <row r="499" spans="19:20" ht="18" customHeight="1" x14ac:dyDescent="0.45">
      <c r="S499" s="2"/>
      <c r="T499" s="2"/>
    </row>
    <row r="500" spans="19:20" ht="18" customHeight="1" x14ac:dyDescent="0.45">
      <c r="S500" s="2"/>
      <c r="T500" s="2"/>
    </row>
    <row r="501" spans="19:20" ht="18" customHeight="1" x14ac:dyDescent="0.45">
      <c r="S501" s="2"/>
      <c r="T501" s="2"/>
    </row>
    <row r="502" spans="19:20" ht="18" customHeight="1" x14ac:dyDescent="0.45">
      <c r="S502" s="2"/>
      <c r="T502" s="2"/>
    </row>
    <row r="503" spans="19:20" ht="18" customHeight="1" x14ac:dyDescent="0.45">
      <c r="S503" s="2"/>
      <c r="T503" s="2"/>
    </row>
    <row r="504" spans="19:20" ht="18" customHeight="1" x14ac:dyDescent="0.45">
      <c r="S504" s="2"/>
      <c r="T504" s="2"/>
    </row>
    <row r="505" spans="19:20" ht="18" customHeight="1" x14ac:dyDescent="0.45">
      <c r="S505" s="2"/>
      <c r="T505" s="2"/>
    </row>
    <row r="506" spans="19:20" ht="18" customHeight="1" x14ac:dyDescent="0.45">
      <c r="S506" s="2"/>
      <c r="T506" s="2"/>
    </row>
    <row r="507" spans="19:20" ht="18" customHeight="1" x14ac:dyDescent="0.45">
      <c r="S507" s="2"/>
      <c r="T507" s="2"/>
    </row>
    <row r="508" spans="19:20" ht="18" customHeight="1" x14ac:dyDescent="0.45">
      <c r="S508" s="2"/>
      <c r="T508" s="2"/>
    </row>
    <row r="509" spans="19:20" ht="18" customHeight="1" x14ac:dyDescent="0.45">
      <c r="S509" s="2"/>
      <c r="T509" s="2"/>
    </row>
    <row r="510" spans="19:20" ht="18" customHeight="1" x14ac:dyDescent="0.45">
      <c r="S510" s="2"/>
      <c r="T510" s="2"/>
    </row>
    <row r="511" spans="19:20" ht="18" customHeight="1" x14ac:dyDescent="0.45">
      <c r="S511" s="2"/>
      <c r="T511" s="2"/>
    </row>
    <row r="512" spans="19:20" ht="18" customHeight="1" x14ac:dyDescent="0.45">
      <c r="S512" s="2"/>
      <c r="T512" s="2"/>
    </row>
    <row r="513" spans="19:20" ht="18" customHeight="1" x14ac:dyDescent="0.45">
      <c r="S513" s="2"/>
      <c r="T513" s="2"/>
    </row>
    <row r="514" spans="19:20" ht="18" customHeight="1" x14ac:dyDescent="0.45">
      <c r="S514" s="2"/>
      <c r="T514" s="2"/>
    </row>
    <row r="515" spans="19:20" ht="18" customHeight="1" x14ac:dyDescent="0.45">
      <c r="S515" s="2"/>
      <c r="T515" s="2"/>
    </row>
    <row r="516" spans="19:20" ht="18" customHeight="1" x14ac:dyDescent="0.45">
      <c r="S516" s="2"/>
      <c r="T516" s="2"/>
    </row>
    <row r="517" spans="19:20" ht="18" customHeight="1" x14ac:dyDescent="0.45">
      <c r="S517" s="2"/>
      <c r="T517" s="2"/>
    </row>
    <row r="518" spans="19:20" ht="18" customHeight="1" x14ac:dyDescent="0.45">
      <c r="S518" s="2"/>
      <c r="T518" s="2"/>
    </row>
    <row r="519" spans="19:20" ht="18" customHeight="1" x14ac:dyDescent="0.45">
      <c r="S519" s="2"/>
      <c r="T519" s="2"/>
    </row>
    <row r="520" spans="19:20" ht="18" customHeight="1" x14ac:dyDescent="0.45">
      <c r="S520" s="2"/>
      <c r="T520" s="2"/>
    </row>
    <row r="521" spans="19:20" ht="18" customHeight="1" x14ac:dyDescent="0.45">
      <c r="S521" s="2"/>
      <c r="T521" s="2"/>
    </row>
    <row r="522" spans="19:20" ht="18" customHeight="1" x14ac:dyDescent="0.45">
      <c r="S522" s="2"/>
      <c r="T522" s="2"/>
    </row>
    <row r="523" spans="19:20" ht="18" customHeight="1" x14ac:dyDescent="0.45">
      <c r="S523" s="2"/>
      <c r="T523" s="2"/>
    </row>
    <row r="524" spans="19:20" ht="18" customHeight="1" x14ac:dyDescent="0.45">
      <c r="S524" s="2"/>
      <c r="T524" s="2"/>
    </row>
    <row r="525" spans="19:20" ht="18" customHeight="1" x14ac:dyDescent="0.45">
      <c r="S525" s="2"/>
      <c r="T525" s="2"/>
    </row>
    <row r="526" spans="19:20" ht="18" customHeight="1" x14ac:dyDescent="0.45">
      <c r="S526" s="2"/>
      <c r="T526" s="2"/>
    </row>
    <row r="527" spans="19:20" ht="18" customHeight="1" x14ac:dyDescent="0.45">
      <c r="S527" s="2"/>
      <c r="T527" s="2"/>
    </row>
    <row r="528" spans="19:20" ht="18" customHeight="1" x14ac:dyDescent="0.45">
      <c r="S528" s="2"/>
      <c r="T528" s="2"/>
    </row>
    <row r="529" spans="19:20" ht="18" customHeight="1" x14ac:dyDescent="0.45">
      <c r="S529" s="2"/>
      <c r="T529" s="2"/>
    </row>
    <row r="530" spans="19:20" ht="18" customHeight="1" x14ac:dyDescent="0.45">
      <c r="S530" s="2"/>
      <c r="T530" s="2"/>
    </row>
    <row r="531" spans="19:20" ht="18" customHeight="1" x14ac:dyDescent="0.45">
      <c r="S531" s="2"/>
      <c r="T531" s="2"/>
    </row>
    <row r="532" spans="19:20" ht="18" customHeight="1" x14ac:dyDescent="0.45">
      <c r="S532" s="2"/>
      <c r="T532" s="2"/>
    </row>
    <row r="533" spans="19:20" ht="18" customHeight="1" x14ac:dyDescent="0.45">
      <c r="S533" s="2"/>
      <c r="T533" s="2"/>
    </row>
    <row r="534" spans="19:20" ht="18" customHeight="1" x14ac:dyDescent="0.45">
      <c r="S534" s="2"/>
      <c r="T534" s="2"/>
    </row>
    <row r="535" spans="19:20" ht="18" customHeight="1" x14ac:dyDescent="0.45">
      <c r="S535" s="2"/>
      <c r="T535" s="2"/>
    </row>
    <row r="536" spans="19:20" ht="18" customHeight="1" x14ac:dyDescent="0.45">
      <c r="S536" s="2"/>
      <c r="T536" s="2"/>
    </row>
    <row r="537" spans="19:20" ht="18" customHeight="1" x14ac:dyDescent="0.45">
      <c r="S537" s="2"/>
      <c r="T537" s="2"/>
    </row>
    <row r="538" spans="19:20" ht="18" customHeight="1" x14ac:dyDescent="0.45">
      <c r="S538" s="2"/>
      <c r="T538" s="2"/>
    </row>
    <row r="539" spans="19:20" ht="18" customHeight="1" x14ac:dyDescent="0.45">
      <c r="S539" s="2"/>
      <c r="T539" s="2"/>
    </row>
    <row r="540" spans="19:20" ht="18" customHeight="1" x14ac:dyDescent="0.45">
      <c r="S540" s="2"/>
      <c r="T540" s="2"/>
    </row>
    <row r="541" spans="19:20" ht="18" customHeight="1" x14ac:dyDescent="0.45">
      <c r="S541" s="2"/>
      <c r="T541" s="2"/>
    </row>
    <row r="542" spans="19:20" ht="18" customHeight="1" x14ac:dyDescent="0.45">
      <c r="S542" s="2"/>
      <c r="T542" s="2"/>
    </row>
    <row r="543" spans="19:20" ht="18" customHeight="1" x14ac:dyDescent="0.45">
      <c r="S543" s="2"/>
      <c r="T543" s="2"/>
    </row>
    <row r="544" spans="19:20" ht="18" customHeight="1" x14ac:dyDescent="0.45">
      <c r="S544" s="2"/>
      <c r="T544" s="2"/>
    </row>
    <row r="545" spans="19:20" ht="18" customHeight="1" x14ac:dyDescent="0.45">
      <c r="S545" s="2"/>
      <c r="T545" s="2"/>
    </row>
    <row r="546" spans="19:20" ht="18" customHeight="1" x14ac:dyDescent="0.45">
      <c r="S546" s="2"/>
      <c r="T546" s="2"/>
    </row>
    <row r="547" spans="19:20" ht="18" customHeight="1" x14ac:dyDescent="0.45">
      <c r="S547" s="2"/>
      <c r="T547" s="2"/>
    </row>
    <row r="548" spans="19:20" ht="18" customHeight="1" x14ac:dyDescent="0.45">
      <c r="S548" s="2"/>
      <c r="T548" s="2"/>
    </row>
    <row r="549" spans="19:20" ht="18" customHeight="1" x14ac:dyDescent="0.45">
      <c r="S549" s="2"/>
      <c r="T549" s="2"/>
    </row>
    <row r="550" spans="19:20" ht="18" customHeight="1" x14ac:dyDescent="0.45">
      <c r="S550" s="2"/>
      <c r="T550" s="2"/>
    </row>
    <row r="551" spans="19:20" ht="18" customHeight="1" x14ac:dyDescent="0.45">
      <c r="S551" s="2"/>
      <c r="T551" s="2"/>
    </row>
    <row r="552" spans="19:20" ht="18" customHeight="1" x14ac:dyDescent="0.45">
      <c r="S552" s="2"/>
      <c r="T552" s="2"/>
    </row>
    <row r="553" spans="19:20" ht="18" customHeight="1" x14ac:dyDescent="0.45">
      <c r="S553" s="2"/>
      <c r="T553" s="2"/>
    </row>
    <row r="554" spans="19:20" ht="18" customHeight="1" x14ac:dyDescent="0.45">
      <c r="S554" s="2"/>
      <c r="T554" s="2"/>
    </row>
    <row r="555" spans="19:20" ht="18" customHeight="1" x14ac:dyDescent="0.45">
      <c r="S555" s="2"/>
      <c r="T555" s="2"/>
    </row>
    <row r="556" spans="19:20" ht="18" customHeight="1" x14ac:dyDescent="0.45">
      <c r="S556" s="2"/>
      <c r="T556" s="2"/>
    </row>
    <row r="557" spans="19:20" ht="18" customHeight="1" x14ac:dyDescent="0.45">
      <c r="S557" s="2"/>
      <c r="T557" s="2"/>
    </row>
    <row r="558" spans="19:20" ht="18" customHeight="1" x14ac:dyDescent="0.45">
      <c r="S558" s="2"/>
      <c r="T558" s="2"/>
    </row>
    <row r="559" spans="19:20" ht="18" customHeight="1" x14ac:dyDescent="0.45">
      <c r="S559" s="2"/>
      <c r="T559" s="2"/>
    </row>
    <row r="560" spans="19:20" ht="18" customHeight="1" x14ac:dyDescent="0.45">
      <c r="S560" s="2"/>
      <c r="T560" s="2"/>
    </row>
    <row r="561" spans="19:20" ht="18" customHeight="1" x14ac:dyDescent="0.45">
      <c r="S561" s="2"/>
      <c r="T561" s="2"/>
    </row>
    <row r="562" spans="19:20" ht="18" customHeight="1" x14ac:dyDescent="0.45">
      <c r="S562" s="2"/>
      <c r="T562" s="2"/>
    </row>
    <row r="563" spans="19:20" ht="18" customHeight="1" x14ac:dyDescent="0.45">
      <c r="S563" s="2"/>
      <c r="T563" s="2"/>
    </row>
    <row r="564" spans="19:20" ht="18" customHeight="1" x14ac:dyDescent="0.45">
      <c r="S564" s="2"/>
      <c r="T564" s="2"/>
    </row>
    <row r="565" spans="19:20" ht="18" customHeight="1" x14ac:dyDescent="0.45">
      <c r="S565" s="2"/>
      <c r="T565" s="2"/>
    </row>
    <row r="566" spans="19:20" ht="18" customHeight="1" x14ac:dyDescent="0.45">
      <c r="S566" s="2"/>
      <c r="T566" s="2"/>
    </row>
    <row r="567" spans="19:20" ht="18" customHeight="1" x14ac:dyDescent="0.45">
      <c r="S567" s="2"/>
      <c r="T567" s="2"/>
    </row>
    <row r="568" spans="19:20" ht="18" customHeight="1" x14ac:dyDescent="0.45">
      <c r="S568" s="2"/>
      <c r="T568" s="2"/>
    </row>
    <row r="569" spans="19:20" ht="18" customHeight="1" x14ac:dyDescent="0.45">
      <c r="S569" s="2"/>
      <c r="T569" s="2"/>
    </row>
    <row r="570" spans="19:20" ht="18" customHeight="1" x14ac:dyDescent="0.45">
      <c r="S570" s="2"/>
      <c r="T570" s="2"/>
    </row>
    <row r="571" spans="19:20" ht="18" customHeight="1" x14ac:dyDescent="0.45">
      <c r="S571" s="2"/>
      <c r="T571" s="2"/>
    </row>
    <row r="572" spans="19:20" ht="18" customHeight="1" x14ac:dyDescent="0.45">
      <c r="S572" s="2"/>
      <c r="T572" s="2"/>
    </row>
    <row r="573" spans="19:20" ht="18" customHeight="1" x14ac:dyDescent="0.45">
      <c r="S573" s="2"/>
      <c r="T573" s="2"/>
    </row>
    <row r="574" spans="19:20" ht="18" customHeight="1" x14ac:dyDescent="0.45">
      <c r="S574" s="2"/>
      <c r="T574" s="2"/>
    </row>
    <row r="575" spans="19:20" ht="18" customHeight="1" x14ac:dyDescent="0.45">
      <c r="S575" s="2"/>
      <c r="T575" s="2"/>
    </row>
    <row r="576" spans="19:20" ht="18" customHeight="1" x14ac:dyDescent="0.45">
      <c r="S576" s="2"/>
      <c r="T576" s="2"/>
    </row>
    <row r="577" spans="19:20" ht="18" customHeight="1" x14ac:dyDescent="0.45">
      <c r="S577" s="2"/>
      <c r="T577" s="2"/>
    </row>
    <row r="578" spans="19:20" ht="18" customHeight="1" x14ac:dyDescent="0.45">
      <c r="S578" s="2"/>
      <c r="T578" s="2"/>
    </row>
    <row r="579" spans="19:20" ht="18" customHeight="1" x14ac:dyDescent="0.45">
      <c r="S579" s="2"/>
      <c r="T579" s="2"/>
    </row>
    <row r="580" spans="19:20" ht="18" customHeight="1" x14ac:dyDescent="0.45">
      <c r="S580" s="2"/>
      <c r="T580" s="2"/>
    </row>
    <row r="581" spans="19:20" ht="18" customHeight="1" x14ac:dyDescent="0.45">
      <c r="S581" s="2"/>
      <c r="T581" s="2"/>
    </row>
    <row r="582" spans="19:20" ht="18" customHeight="1" x14ac:dyDescent="0.45">
      <c r="S582" s="2"/>
      <c r="T582" s="2"/>
    </row>
    <row r="583" spans="19:20" ht="18" customHeight="1" x14ac:dyDescent="0.45">
      <c r="S583" s="2"/>
      <c r="T583" s="2"/>
    </row>
    <row r="584" spans="19:20" ht="18" customHeight="1" x14ac:dyDescent="0.45">
      <c r="S584" s="2"/>
      <c r="T584" s="2"/>
    </row>
    <row r="585" spans="19:20" ht="18" customHeight="1" x14ac:dyDescent="0.45">
      <c r="S585" s="2"/>
      <c r="T585" s="2"/>
    </row>
    <row r="586" spans="19:20" ht="18" customHeight="1" x14ac:dyDescent="0.45">
      <c r="S586" s="2"/>
      <c r="T586" s="2"/>
    </row>
    <row r="587" spans="19:20" ht="18" customHeight="1" x14ac:dyDescent="0.45">
      <c r="S587" s="2"/>
      <c r="T587" s="2"/>
    </row>
    <row r="588" spans="19:20" ht="18" customHeight="1" x14ac:dyDescent="0.45">
      <c r="S588" s="2"/>
      <c r="T588" s="2"/>
    </row>
    <row r="589" spans="19:20" ht="18" customHeight="1" x14ac:dyDescent="0.45">
      <c r="S589" s="2"/>
      <c r="T589" s="2"/>
    </row>
    <row r="590" spans="19:20" ht="18" customHeight="1" x14ac:dyDescent="0.45">
      <c r="S590" s="2"/>
      <c r="T590" s="2"/>
    </row>
    <row r="591" spans="19:20" ht="18" customHeight="1" x14ac:dyDescent="0.45">
      <c r="S591" s="2"/>
      <c r="T591" s="2"/>
    </row>
    <row r="592" spans="19:20" ht="18" customHeight="1" x14ac:dyDescent="0.45">
      <c r="S592" s="2"/>
      <c r="T592" s="2"/>
    </row>
    <row r="593" spans="19:20" ht="18" customHeight="1" x14ac:dyDescent="0.45">
      <c r="S593" s="2"/>
      <c r="T593" s="2"/>
    </row>
    <row r="594" spans="19:20" ht="18" customHeight="1" x14ac:dyDescent="0.45">
      <c r="S594" s="2"/>
      <c r="T594" s="2"/>
    </row>
    <row r="595" spans="19:20" ht="18" customHeight="1" x14ac:dyDescent="0.45">
      <c r="S595" s="2"/>
      <c r="T595" s="2"/>
    </row>
    <row r="596" spans="19:20" ht="18" customHeight="1" x14ac:dyDescent="0.45">
      <c r="S596" s="2"/>
      <c r="T596" s="2"/>
    </row>
    <row r="597" spans="19:20" ht="18" customHeight="1" x14ac:dyDescent="0.45">
      <c r="S597" s="2"/>
      <c r="T597" s="2"/>
    </row>
    <row r="598" spans="19:20" ht="18" customHeight="1" x14ac:dyDescent="0.45">
      <c r="S598" s="2"/>
      <c r="T598" s="2"/>
    </row>
    <row r="599" spans="19:20" ht="18" customHeight="1" x14ac:dyDescent="0.45">
      <c r="S599" s="2"/>
      <c r="T599" s="2"/>
    </row>
    <row r="600" spans="19:20" ht="18" customHeight="1" x14ac:dyDescent="0.45">
      <c r="S600" s="2"/>
      <c r="T600" s="2"/>
    </row>
    <row r="601" spans="19:20" ht="18" customHeight="1" x14ac:dyDescent="0.45">
      <c r="S601" s="2"/>
      <c r="T601" s="2"/>
    </row>
    <row r="602" spans="19:20" ht="18" customHeight="1" x14ac:dyDescent="0.45">
      <c r="S602" s="2"/>
      <c r="T602" s="2"/>
    </row>
    <row r="603" spans="19:20" ht="18" customHeight="1" x14ac:dyDescent="0.45">
      <c r="S603" s="2"/>
      <c r="T603" s="2"/>
    </row>
    <row r="604" spans="19:20" ht="18" customHeight="1" x14ac:dyDescent="0.45">
      <c r="S604" s="2"/>
      <c r="T604" s="2"/>
    </row>
    <row r="605" spans="19:20" ht="18" customHeight="1" x14ac:dyDescent="0.45">
      <c r="S605" s="2"/>
      <c r="T605" s="2"/>
    </row>
    <row r="606" spans="19:20" ht="18" customHeight="1" x14ac:dyDescent="0.45">
      <c r="S606" s="2"/>
      <c r="T606" s="2"/>
    </row>
    <row r="607" spans="19:20" ht="18" customHeight="1" x14ac:dyDescent="0.45">
      <c r="S607" s="2"/>
      <c r="T607" s="2"/>
    </row>
    <row r="608" spans="19:20" ht="18" customHeight="1" x14ac:dyDescent="0.45">
      <c r="S608" s="2"/>
      <c r="T608" s="2"/>
    </row>
    <row r="609" spans="19:20" ht="18" customHeight="1" x14ac:dyDescent="0.45">
      <c r="S609" s="2"/>
      <c r="T609" s="2"/>
    </row>
    <row r="610" spans="19:20" ht="18" customHeight="1" x14ac:dyDescent="0.45">
      <c r="S610" s="2"/>
      <c r="T610" s="2"/>
    </row>
    <row r="611" spans="19:20" ht="18" customHeight="1" x14ac:dyDescent="0.45">
      <c r="S611" s="2"/>
      <c r="T611" s="2"/>
    </row>
    <row r="612" spans="19:20" ht="18" customHeight="1" x14ac:dyDescent="0.45">
      <c r="S612" s="2"/>
      <c r="T612" s="2"/>
    </row>
    <row r="613" spans="19:20" ht="18" customHeight="1" x14ac:dyDescent="0.45">
      <c r="S613" s="2"/>
      <c r="T613" s="2"/>
    </row>
    <row r="614" spans="19:20" ht="18" customHeight="1" x14ac:dyDescent="0.45">
      <c r="S614" s="2"/>
      <c r="T614" s="2"/>
    </row>
    <row r="615" spans="19:20" ht="18" customHeight="1" x14ac:dyDescent="0.45">
      <c r="S615" s="2"/>
      <c r="T615" s="2"/>
    </row>
    <row r="616" spans="19:20" ht="18" customHeight="1" x14ac:dyDescent="0.45">
      <c r="S616" s="2"/>
      <c r="T616" s="2"/>
    </row>
    <row r="617" spans="19:20" ht="18" customHeight="1" x14ac:dyDescent="0.45">
      <c r="S617" s="2"/>
      <c r="T617" s="2"/>
    </row>
    <row r="618" spans="19:20" ht="18" customHeight="1" x14ac:dyDescent="0.45">
      <c r="S618" s="2"/>
      <c r="T618" s="2"/>
    </row>
    <row r="619" spans="19:20" ht="18" customHeight="1" x14ac:dyDescent="0.45">
      <c r="S619" s="2"/>
      <c r="T619" s="2"/>
    </row>
    <row r="620" spans="19:20" ht="18" customHeight="1" x14ac:dyDescent="0.45">
      <c r="S620" s="2"/>
      <c r="T620" s="2"/>
    </row>
    <row r="621" spans="19:20" ht="18" customHeight="1" x14ac:dyDescent="0.45">
      <c r="S621" s="2"/>
      <c r="T621" s="2"/>
    </row>
    <row r="622" spans="19:20" ht="18" customHeight="1" x14ac:dyDescent="0.45">
      <c r="S622" s="2"/>
      <c r="T622" s="2"/>
    </row>
    <row r="623" spans="19:20" ht="18" customHeight="1" x14ac:dyDescent="0.45">
      <c r="S623" s="2"/>
      <c r="T623" s="2"/>
    </row>
    <row r="624" spans="19:20" ht="18" customHeight="1" x14ac:dyDescent="0.45">
      <c r="S624" s="2"/>
      <c r="T624" s="2"/>
    </row>
    <row r="625" spans="19:20" ht="18" customHeight="1" x14ac:dyDescent="0.45">
      <c r="S625" s="2"/>
      <c r="T625" s="2"/>
    </row>
    <row r="626" spans="19:20" ht="18" customHeight="1" x14ac:dyDescent="0.45">
      <c r="S626" s="2"/>
      <c r="T626" s="2"/>
    </row>
    <row r="627" spans="19:20" ht="18" customHeight="1" x14ac:dyDescent="0.45">
      <c r="S627" s="2"/>
      <c r="T627" s="2"/>
    </row>
    <row r="628" spans="19:20" ht="18" customHeight="1" x14ac:dyDescent="0.45">
      <c r="S628" s="2"/>
      <c r="T628" s="2"/>
    </row>
    <row r="629" spans="19:20" ht="18" customHeight="1" x14ac:dyDescent="0.45">
      <c r="S629" s="2"/>
      <c r="T629" s="2"/>
    </row>
    <row r="630" spans="19:20" ht="18" customHeight="1" x14ac:dyDescent="0.45">
      <c r="S630" s="2"/>
      <c r="T630" s="2"/>
    </row>
    <row r="631" spans="19:20" ht="18" customHeight="1" x14ac:dyDescent="0.45">
      <c r="S631" s="2"/>
      <c r="T631" s="2"/>
    </row>
    <row r="632" spans="19:20" ht="18" customHeight="1" x14ac:dyDescent="0.45">
      <c r="S632" s="2"/>
      <c r="T632" s="2"/>
    </row>
    <row r="633" spans="19:20" ht="18" customHeight="1" x14ac:dyDescent="0.45">
      <c r="S633" s="2"/>
      <c r="T633" s="2"/>
    </row>
    <row r="634" spans="19:20" ht="18" customHeight="1" x14ac:dyDescent="0.45">
      <c r="S634" s="2"/>
      <c r="T634" s="2"/>
    </row>
    <row r="635" spans="19:20" ht="18" customHeight="1" x14ac:dyDescent="0.45">
      <c r="S635" s="2"/>
      <c r="T635" s="2"/>
    </row>
    <row r="636" spans="19:20" ht="18" customHeight="1" x14ac:dyDescent="0.45">
      <c r="S636" s="2"/>
      <c r="T636" s="2"/>
    </row>
    <row r="637" spans="19:20" ht="18" customHeight="1" x14ac:dyDescent="0.45">
      <c r="S637" s="2"/>
      <c r="T637" s="2"/>
    </row>
    <row r="638" spans="19:20" ht="18" customHeight="1" x14ac:dyDescent="0.45">
      <c r="S638" s="2"/>
      <c r="T638" s="2"/>
    </row>
    <row r="639" spans="19:20" ht="18" customHeight="1" x14ac:dyDescent="0.45">
      <c r="S639" s="2"/>
      <c r="T639" s="2"/>
    </row>
    <row r="640" spans="19:20" ht="18" customHeight="1" x14ac:dyDescent="0.45">
      <c r="S640" s="2"/>
      <c r="T640" s="2"/>
    </row>
    <row r="641" spans="19:20" ht="18" customHeight="1" x14ac:dyDescent="0.45">
      <c r="S641" s="2"/>
      <c r="T641" s="2"/>
    </row>
    <row r="642" spans="19:20" ht="18" customHeight="1" x14ac:dyDescent="0.45">
      <c r="S642" s="2"/>
      <c r="T642" s="2"/>
    </row>
    <row r="643" spans="19:20" ht="18" customHeight="1" x14ac:dyDescent="0.45">
      <c r="S643" s="2"/>
      <c r="T643" s="2"/>
    </row>
    <row r="644" spans="19:20" ht="18" customHeight="1" x14ac:dyDescent="0.45">
      <c r="S644" s="2"/>
      <c r="T644" s="2"/>
    </row>
    <row r="645" spans="19:20" ht="18" customHeight="1" x14ac:dyDescent="0.45">
      <c r="S645" s="2"/>
      <c r="T645" s="2"/>
    </row>
    <row r="646" spans="19:20" ht="18" customHeight="1" x14ac:dyDescent="0.45">
      <c r="S646" s="2"/>
      <c r="T646" s="2"/>
    </row>
    <row r="647" spans="19:20" ht="18" customHeight="1" x14ac:dyDescent="0.45">
      <c r="S647" s="2"/>
      <c r="T647" s="2"/>
    </row>
    <row r="648" spans="19:20" ht="18" customHeight="1" x14ac:dyDescent="0.45">
      <c r="S648" s="2"/>
      <c r="T648" s="2"/>
    </row>
    <row r="649" spans="19:20" ht="18" customHeight="1" x14ac:dyDescent="0.45">
      <c r="S649" s="2"/>
      <c r="T649" s="2"/>
    </row>
    <row r="650" spans="19:20" ht="18" customHeight="1" x14ac:dyDescent="0.45">
      <c r="S650" s="2"/>
      <c r="T650" s="2"/>
    </row>
    <row r="651" spans="19:20" ht="18" customHeight="1" x14ac:dyDescent="0.45">
      <c r="S651" s="2"/>
      <c r="T651" s="2"/>
    </row>
    <row r="652" spans="19:20" ht="18" customHeight="1" x14ac:dyDescent="0.45">
      <c r="S652" s="2"/>
      <c r="T652" s="2"/>
    </row>
    <row r="653" spans="19:20" ht="18" customHeight="1" x14ac:dyDescent="0.45">
      <c r="S653" s="2"/>
      <c r="T653" s="2"/>
    </row>
    <row r="654" spans="19:20" ht="18" customHeight="1" x14ac:dyDescent="0.45">
      <c r="S654" s="2"/>
      <c r="T654" s="2"/>
    </row>
    <row r="655" spans="19:20" ht="18" customHeight="1" x14ac:dyDescent="0.45">
      <c r="S655" s="2"/>
      <c r="T655" s="2"/>
    </row>
    <row r="656" spans="19:20" ht="18" customHeight="1" x14ac:dyDescent="0.45">
      <c r="S656" s="2"/>
      <c r="T656" s="2"/>
    </row>
    <row r="657" spans="19:20" ht="18" customHeight="1" x14ac:dyDescent="0.45">
      <c r="S657" s="2"/>
      <c r="T657" s="2"/>
    </row>
    <row r="658" spans="19:20" ht="18" customHeight="1" x14ac:dyDescent="0.45">
      <c r="S658" s="2"/>
      <c r="T658" s="2"/>
    </row>
    <row r="659" spans="19:20" ht="18" customHeight="1" x14ac:dyDescent="0.45">
      <c r="S659" s="2"/>
      <c r="T659" s="2"/>
    </row>
    <row r="660" spans="19:20" ht="18" customHeight="1" x14ac:dyDescent="0.45">
      <c r="S660" s="2"/>
      <c r="T660" s="2"/>
    </row>
    <row r="661" spans="19:20" ht="18" customHeight="1" x14ac:dyDescent="0.45">
      <c r="S661" s="2"/>
      <c r="T661" s="2"/>
    </row>
    <row r="662" spans="19:20" ht="18" customHeight="1" x14ac:dyDescent="0.45">
      <c r="S662" s="2"/>
      <c r="T662" s="2"/>
    </row>
    <row r="663" spans="19:20" ht="18" customHeight="1" x14ac:dyDescent="0.45">
      <c r="S663" s="2"/>
      <c r="T663" s="2"/>
    </row>
    <row r="664" spans="19:20" ht="18" customHeight="1" x14ac:dyDescent="0.45">
      <c r="S664" s="2"/>
      <c r="T664" s="2"/>
    </row>
    <row r="665" spans="19:20" ht="18" customHeight="1" x14ac:dyDescent="0.45">
      <c r="S665" s="2"/>
      <c r="T665" s="2"/>
    </row>
    <row r="666" spans="19:20" ht="18" customHeight="1" x14ac:dyDescent="0.45">
      <c r="S666" s="2"/>
      <c r="T666" s="2"/>
    </row>
    <row r="667" spans="19:20" ht="18" customHeight="1" x14ac:dyDescent="0.45">
      <c r="S667" s="2"/>
      <c r="T667" s="2"/>
    </row>
    <row r="668" spans="19:20" ht="18" customHeight="1" x14ac:dyDescent="0.45">
      <c r="S668" s="2"/>
      <c r="T668" s="2"/>
    </row>
    <row r="669" spans="19:20" ht="18" customHeight="1" x14ac:dyDescent="0.45">
      <c r="S669" s="2"/>
      <c r="T669" s="2"/>
    </row>
    <row r="670" spans="19:20" ht="18" customHeight="1" x14ac:dyDescent="0.45">
      <c r="S670" s="2"/>
      <c r="T670" s="2"/>
    </row>
    <row r="671" spans="19:20" ht="18" customHeight="1" x14ac:dyDescent="0.45">
      <c r="S671" s="2"/>
      <c r="T671" s="2"/>
    </row>
    <row r="672" spans="19:20" ht="18" customHeight="1" x14ac:dyDescent="0.45">
      <c r="S672" s="2"/>
      <c r="T672" s="2"/>
    </row>
    <row r="673" spans="19:20" ht="18" customHeight="1" x14ac:dyDescent="0.45">
      <c r="S673" s="2"/>
      <c r="T673" s="2"/>
    </row>
    <row r="674" spans="19:20" ht="18" customHeight="1" x14ac:dyDescent="0.45">
      <c r="S674" s="2"/>
      <c r="T674" s="2"/>
    </row>
    <row r="675" spans="19:20" ht="18" customHeight="1" x14ac:dyDescent="0.45">
      <c r="S675" s="2"/>
      <c r="T675" s="2"/>
    </row>
    <row r="676" spans="19:20" ht="18" customHeight="1" x14ac:dyDescent="0.45">
      <c r="S676" s="2"/>
      <c r="T676" s="2"/>
    </row>
    <row r="677" spans="19:20" ht="18" customHeight="1" x14ac:dyDescent="0.45">
      <c r="S677" s="2"/>
      <c r="T677" s="2"/>
    </row>
    <row r="678" spans="19:20" ht="18" customHeight="1" x14ac:dyDescent="0.45">
      <c r="S678" s="2"/>
      <c r="T678" s="2"/>
    </row>
    <row r="679" spans="19:20" ht="18" customHeight="1" x14ac:dyDescent="0.45">
      <c r="S679" s="2"/>
      <c r="T679" s="2"/>
    </row>
    <row r="680" spans="19:20" ht="18" customHeight="1" x14ac:dyDescent="0.45">
      <c r="S680" s="2"/>
      <c r="T680" s="2"/>
    </row>
    <row r="681" spans="19:20" ht="18" customHeight="1" x14ac:dyDescent="0.45">
      <c r="S681" s="2"/>
      <c r="T681" s="2"/>
    </row>
    <row r="682" spans="19:20" ht="18" customHeight="1" x14ac:dyDescent="0.45">
      <c r="S682" s="2"/>
      <c r="T682" s="2"/>
    </row>
    <row r="683" spans="19:20" ht="18" customHeight="1" x14ac:dyDescent="0.45">
      <c r="S683" s="2"/>
      <c r="T683" s="2"/>
    </row>
    <row r="684" spans="19:20" ht="18" customHeight="1" x14ac:dyDescent="0.45">
      <c r="S684" s="2"/>
      <c r="T684" s="2"/>
    </row>
    <row r="685" spans="19:20" ht="18" customHeight="1" x14ac:dyDescent="0.45">
      <c r="S685" s="2"/>
      <c r="T685" s="2"/>
    </row>
    <row r="686" spans="19:20" ht="18" customHeight="1" x14ac:dyDescent="0.45">
      <c r="S686" s="2"/>
      <c r="T686" s="2"/>
    </row>
    <row r="687" spans="19:20" ht="18" customHeight="1" x14ac:dyDescent="0.45">
      <c r="S687" s="2"/>
      <c r="T687" s="2"/>
    </row>
    <row r="688" spans="19:20" ht="18" customHeight="1" x14ac:dyDescent="0.45">
      <c r="S688" s="2"/>
      <c r="T688" s="2"/>
    </row>
    <row r="689" spans="19:20" ht="18" customHeight="1" x14ac:dyDescent="0.45">
      <c r="S689" s="2"/>
      <c r="T689" s="2"/>
    </row>
    <row r="690" spans="19:20" ht="18" customHeight="1" x14ac:dyDescent="0.45">
      <c r="S690" s="2"/>
      <c r="T690" s="2"/>
    </row>
    <row r="691" spans="19:20" ht="18" customHeight="1" x14ac:dyDescent="0.45">
      <c r="S691" s="2"/>
      <c r="T691" s="2"/>
    </row>
    <row r="692" spans="19:20" ht="18" customHeight="1" x14ac:dyDescent="0.45">
      <c r="S692" s="2"/>
      <c r="T692" s="2"/>
    </row>
    <row r="693" spans="19:20" ht="18" customHeight="1" x14ac:dyDescent="0.45">
      <c r="S693" s="2"/>
      <c r="T693" s="2"/>
    </row>
    <row r="694" spans="19:20" ht="18" customHeight="1" x14ac:dyDescent="0.45">
      <c r="S694" s="2"/>
      <c r="T694" s="2"/>
    </row>
    <row r="695" spans="19:20" ht="18" customHeight="1" x14ac:dyDescent="0.45">
      <c r="S695" s="2"/>
      <c r="T695" s="2"/>
    </row>
    <row r="696" spans="19:20" ht="18" customHeight="1" x14ac:dyDescent="0.45">
      <c r="S696" s="2"/>
      <c r="T696" s="2"/>
    </row>
    <row r="697" spans="19:20" ht="18" customHeight="1" x14ac:dyDescent="0.45">
      <c r="S697" s="2"/>
      <c r="T697" s="2"/>
    </row>
    <row r="698" spans="19:20" ht="18" customHeight="1" x14ac:dyDescent="0.45">
      <c r="S698" s="2"/>
      <c r="T698" s="2"/>
    </row>
    <row r="699" spans="19:20" ht="18" customHeight="1" x14ac:dyDescent="0.45">
      <c r="S699" s="2"/>
      <c r="T699" s="2"/>
    </row>
    <row r="700" spans="19:20" ht="18" customHeight="1" x14ac:dyDescent="0.45">
      <c r="S700" s="2"/>
      <c r="T700" s="2"/>
    </row>
    <row r="701" spans="19:20" ht="18" customHeight="1" x14ac:dyDescent="0.45">
      <c r="S701" s="2"/>
      <c r="T701" s="2"/>
    </row>
    <row r="702" spans="19:20" ht="18" customHeight="1" x14ac:dyDescent="0.45">
      <c r="S702" s="2"/>
      <c r="T702" s="2"/>
    </row>
    <row r="703" spans="19:20" ht="18" customHeight="1" x14ac:dyDescent="0.45">
      <c r="S703" s="2"/>
      <c r="T703" s="2"/>
    </row>
    <row r="704" spans="19:20" ht="18" customHeight="1" x14ac:dyDescent="0.45">
      <c r="S704" s="2"/>
      <c r="T704" s="2"/>
    </row>
    <row r="705" spans="19:20" ht="18" customHeight="1" x14ac:dyDescent="0.45">
      <c r="S705" s="2"/>
      <c r="T705" s="2"/>
    </row>
    <row r="706" spans="19:20" ht="18" customHeight="1" x14ac:dyDescent="0.45">
      <c r="S706" s="2"/>
      <c r="T706" s="2"/>
    </row>
    <row r="707" spans="19:20" ht="18" customHeight="1" x14ac:dyDescent="0.45">
      <c r="S707" s="2"/>
      <c r="T707" s="2"/>
    </row>
    <row r="708" spans="19:20" ht="18" customHeight="1" x14ac:dyDescent="0.45">
      <c r="S708" s="2"/>
      <c r="T708" s="2"/>
    </row>
    <row r="709" spans="19:20" ht="18" customHeight="1" x14ac:dyDescent="0.45">
      <c r="S709" s="2"/>
      <c r="T709" s="2"/>
    </row>
    <row r="710" spans="19:20" ht="18" customHeight="1" x14ac:dyDescent="0.45">
      <c r="S710" s="2"/>
      <c r="T710" s="2"/>
    </row>
    <row r="711" spans="19:20" ht="18" customHeight="1" x14ac:dyDescent="0.45">
      <c r="S711" s="2"/>
      <c r="T711" s="2"/>
    </row>
    <row r="712" spans="19:20" ht="18" customHeight="1" x14ac:dyDescent="0.45">
      <c r="S712" s="2"/>
      <c r="T712" s="2"/>
    </row>
    <row r="713" spans="19:20" ht="18" customHeight="1" x14ac:dyDescent="0.45">
      <c r="S713" s="2"/>
      <c r="T713" s="2"/>
    </row>
    <row r="714" spans="19:20" ht="18" customHeight="1" x14ac:dyDescent="0.45">
      <c r="S714" s="2"/>
      <c r="T714" s="2"/>
    </row>
    <row r="715" spans="19:20" ht="18" customHeight="1" x14ac:dyDescent="0.45">
      <c r="S715" s="2"/>
      <c r="T715" s="2"/>
    </row>
    <row r="716" spans="19:20" ht="18" customHeight="1" x14ac:dyDescent="0.45">
      <c r="S716" s="2"/>
      <c r="T716" s="2"/>
    </row>
    <row r="717" spans="19:20" ht="18" customHeight="1" x14ac:dyDescent="0.45">
      <c r="S717" s="2"/>
      <c r="T717" s="2"/>
    </row>
    <row r="718" spans="19:20" ht="18" customHeight="1" x14ac:dyDescent="0.45">
      <c r="S718" s="2"/>
      <c r="T718" s="2"/>
    </row>
    <row r="719" spans="19:20" ht="18" customHeight="1" x14ac:dyDescent="0.45">
      <c r="S719" s="2"/>
      <c r="T719" s="2"/>
    </row>
    <row r="720" spans="19:20" ht="18" customHeight="1" x14ac:dyDescent="0.45">
      <c r="S720" s="2"/>
      <c r="T720" s="2"/>
    </row>
    <row r="721" spans="19:20" ht="18" customHeight="1" x14ac:dyDescent="0.45">
      <c r="S721" s="2"/>
      <c r="T721" s="2"/>
    </row>
    <row r="722" spans="19:20" ht="18" customHeight="1" x14ac:dyDescent="0.45">
      <c r="S722" s="2"/>
      <c r="T722" s="2"/>
    </row>
    <row r="723" spans="19:20" ht="18" customHeight="1" x14ac:dyDescent="0.45">
      <c r="S723" s="2"/>
      <c r="T723" s="2"/>
    </row>
    <row r="724" spans="19:20" ht="18" customHeight="1" x14ac:dyDescent="0.45">
      <c r="S724" s="2"/>
      <c r="T724" s="2"/>
    </row>
    <row r="725" spans="19:20" ht="18" customHeight="1" x14ac:dyDescent="0.45">
      <c r="S725" s="2"/>
      <c r="T725" s="2"/>
    </row>
    <row r="726" spans="19:20" ht="18" customHeight="1" x14ac:dyDescent="0.45">
      <c r="S726" s="2"/>
      <c r="T726" s="2"/>
    </row>
    <row r="727" spans="19:20" ht="18" customHeight="1" x14ac:dyDescent="0.45">
      <c r="S727" s="2"/>
      <c r="T727" s="2"/>
    </row>
    <row r="728" spans="19:20" ht="18" customHeight="1" x14ac:dyDescent="0.45">
      <c r="S728" s="2"/>
      <c r="T728" s="2"/>
    </row>
    <row r="729" spans="19:20" ht="18" customHeight="1" x14ac:dyDescent="0.45">
      <c r="S729" s="2"/>
      <c r="T729" s="2"/>
    </row>
    <row r="730" spans="19:20" ht="18" customHeight="1" x14ac:dyDescent="0.45">
      <c r="S730" s="2"/>
      <c r="T730" s="2"/>
    </row>
    <row r="731" spans="19:20" ht="18" customHeight="1" x14ac:dyDescent="0.45">
      <c r="S731" s="2"/>
      <c r="T731" s="2"/>
    </row>
    <row r="732" spans="19:20" ht="18" customHeight="1" x14ac:dyDescent="0.45">
      <c r="S732" s="2"/>
      <c r="T732" s="2"/>
    </row>
    <row r="733" spans="19:20" ht="18" customHeight="1" x14ac:dyDescent="0.45">
      <c r="S733" s="2"/>
      <c r="T733" s="2"/>
    </row>
    <row r="734" spans="19:20" ht="18" customHeight="1" x14ac:dyDescent="0.45">
      <c r="S734" s="2"/>
      <c r="T734" s="2"/>
    </row>
    <row r="735" spans="19:20" ht="18" customHeight="1" x14ac:dyDescent="0.45">
      <c r="S735" s="2"/>
      <c r="T735" s="2"/>
    </row>
    <row r="736" spans="19:20" ht="18" customHeight="1" x14ac:dyDescent="0.45">
      <c r="S736" s="2"/>
      <c r="T736" s="2"/>
    </row>
    <row r="737" spans="19:20" ht="18" customHeight="1" x14ac:dyDescent="0.45">
      <c r="S737" s="2"/>
      <c r="T737" s="2"/>
    </row>
    <row r="738" spans="19:20" ht="18" customHeight="1" x14ac:dyDescent="0.45">
      <c r="S738" s="2"/>
      <c r="T738" s="2"/>
    </row>
    <row r="739" spans="19:20" ht="18" customHeight="1" x14ac:dyDescent="0.45">
      <c r="S739" s="2"/>
      <c r="T739" s="2"/>
    </row>
    <row r="740" spans="19:20" ht="18" customHeight="1" x14ac:dyDescent="0.45">
      <c r="S740" s="2"/>
      <c r="T740" s="2"/>
    </row>
    <row r="741" spans="19:20" ht="18" customHeight="1" x14ac:dyDescent="0.45">
      <c r="S741" s="2"/>
      <c r="T741" s="2"/>
    </row>
    <row r="742" spans="19:20" ht="18" customHeight="1" x14ac:dyDescent="0.45">
      <c r="S742" s="2"/>
      <c r="T742" s="2"/>
    </row>
    <row r="743" spans="19:20" ht="18" customHeight="1" x14ac:dyDescent="0.45">
      <c r="S743" s="2"/>
      <c r="T743" s="2"/>
    </row>
    <row r="744" spans="19:20" ht="18" customHeight="1" x14ac:dyDescent="0.45">
      <c r="S744" s="2"/>
      <c r="T744" s="2"/>
    </row>
    <row r="745" spans="19:20" ht="18" customHeight="1" x14ac:dyDescent="0.45">
      <c r="S745" s="2"/>
      <c r="T745" s="2"/>
    </row>
    <row r="746" spans="19:20" ht="18" customHeight="1" x14ac:dyDescent="0.45">
      <c r="S746" s="2"/>
      <c r="T746" s="2"/>
    </row>
    <row r="747" spans="19:20" ht="18" customHeight="1" x14ac:dyDescent="0.45">
      <c r="S747" s="2"/>
      <c r="T747" s="2"/>
    </row>
    <row r="748" spans="19:20" ht="18" customHeight="1" x14ac:dyDescent="0.45">
      <c r="S748" s="2"/>
      <c r="T748" s="2"/>
    </row>
    <row r="749" spans="19:20" ht="18" customHeight="1" x14ac:dyDescent="0.45">
      <c r="S749" s="2"/>
      <c r="T749" s="2"/>
    </row>
    <row r="750" spans="19:20" ht="18" customHeight="1" x14ac:dyDescent="0.45">
      <c r="S750" s="2"/>
      <c r="T750" s="2"/>
    </row>
    <row r="751" spans="19:20" ht="18" customHeight="1" x14ac:dyDescent="0.45">
      <c r="S751" s="2"/>
      <c r="T751" s="2"/>
    </row>
    <row r="752" spans="19:20" ht="18" customHeight="1" x14ac:dyDescent="0.45">
      <c r="S752" s="2"/>
      <c r="T752" s="2"/>
    </row>
    <row r="753" spans="19:20" ht="18" customHeight="1" x14ac:dyDescent="0.45">
      <c r="S753" s="2"/>
      <c r="T753" s="2"/>
    </row>
    <row r="754" spans="19:20" ht="18" customHeight="1" x14ac:dyDescent="0.45">
      <c r="S754" s="2"/>
      <c r="T754" s="2"/>
    </row>
    <row r="755" spans="19:20" ht="18" customHeight="1" x14ac:dyDescent="0.45">
      <c r="S755" s="2"/>
      <c r="T755" s="2"/>
    </row>
    <row r="756" spans="19:20" ht="18" customHeight="1" x14ac:dyDescent="0.45">
      <c r="S756" s="2"/>
      <c r="T756" s="2"/>
    </row>
    <row r="757" spans="19:20" ht="18" customHeight="1" x14ac:dyDescent="0.45">
      <c r="S757" s="2"/>
      <c r="T757" s="2"/>
    </row>
    <row r="758" spans="19:20" ht="18" customHeight="1" x14ac:dyDescent="0.45">
      <c r="S758" s="2"/>
      <c r="T758" s="2"/>
    </row>
    <row r="759" spans="19:20" ht="18" customHeight="1" x14ac:dyDescent="0.45">
      <c r="S759" s="2"/>
      <c r="T759" s="2"/>
    </row>
    <row r="760" spans="19:20" ht="18" customHeight="1" x14ac:dyDescent="0.45">
      <c r="S760" s="2"/>
      <c r="T760" s="2"/>
    </row>
    <row r="761" spans="19:20" ht="18" customHeight="1" x14ac:dyDescent="0.45">
      <c r="S761" s="2"/>
      <c r="T761" s="2"/>
    </row>
    <row r="762" spans="19:20" ht="18" customHeight="1" x14ac:dyDescent="0.45">
      <c r="S762" s="2"/>
      <c r="T762" s="2"/>
    </row>
    <row r="763" spans="19:20" ht="18" customHeight="1" x14ac:dyDescent="0.45">
      <c r="S763" s="2"/>
      <c r="T763" s="2"/>
    </row>
    <row r="764" spans="19:20" ht="18" customHeight="1" x14ac:dyDescent="0.45">
      <c r="S764" s="2"/>
      <c r="T764" s="2"/>
    </row>
    <row r="765" spans="19:20" ht="18" customHeight="1" x14ac:dyDescent="0.45">
      <c r="S765" s="2"/>
      <c r="T765" s="2"/>
    </row>
    <row r="766" spans="19:20" ht="18" customHeight="1" x14ac:dyDescent="0.45">
      <c r="S766" s="2"/>
      <c r="T766" s="2"/>
    </row>
    <row r="767" spans="19:20" ht="18" customHeight="1" x14ac:dyDescent="0.45">
      <c r="S767" s="2"/>
      <c r="T767" s="2"/>
    </row>
    <row r="768" spans="19:20" ht="18" customHeight="1" x14ac:dyDescent="0.45">
      <c r="S768" s="2"/>
      <c r="T768" s="2"/>
    </row>
    <row r="769" spans="19:20" ht="18" customHeight="1" x14ac:dyDescent="0.45">
      <c r="S769" s="2"/>
      <c r="T769" s="2"/>
    </row>
    <row r="770" spans="19:20" ht="18" customHeight="1" x14ac:dyDescent="0.45">
      <c r="S770" s="2"/>
      <c r="T770" s="2"/>
    </row>
    <row r="771" spans="19:20" ht="18" customHeight="1" x14ac:dyDescent="0.45">
      <c r="S771" s="2"/>
      <c r="T771" s="2"/>
    </row>
    <row r="772" spans="19:20" ht="18" customHeight="1" x14ac:dyDescent="0.45">
      <c r="S772" s="2"/>
      <c r="T772" s="2"/>
    </row>
    <row r="773" spans="19:20" ht="18" customHeight="1" x14ac:dyDescent="0.45">
      <c r="S773" s="2"/>
      <c r="T773" s="2"/>
    </row>
    <row r="774" spans="19:20" ht="18" customHeight="1" x14ac:dyDescent="0.45">
      <c r="S774" s="2"/>
      <c r="T774" s="2"/>
    </row>
    <row r="775" spans="19:20" ht="18" customHeight="1" x14ac:dyDescent="0.45">
      <c r="S775" s="2"/>
      <c r="T775" s="2"/>
    </row>
    <row r="776" spans="19:20" ht="18" customHeight="1" x14ac:dyDescent="0.45">
      <c r="S776" s="2"/>
      <c r="T776" s="2"/>
    </row>
    <row r="777" spans="19:20" ht="18" customHeight="1" x14ac:dyDescent="0.45">
      <c r="S777" s="2"/>
      <c r="T777" s="2"/>
    </row>
    <row r="778" spans="19:20" ht="18" customHeight="1" x14ac:dyDescent="0.45">
      <c r="S778" s="2"/>
      <c r="T778" s="2"/>
    </row>
    <row r="779" spans="19:20" ht="18" customHeight="1" x14ac:dyDescent="0.45">
      <c r="S779" s="2"/>
      <c r="T779" s="2"/>
    </row>
    <row r="780" spans="19:20" ht="18" customHeight="1" x14ac:dyDescent="0.45">
      <c r="S780" s="2"/>
      <c r="T780" s="2"/>
    </row>
    <row r="781" spans="19:20" ht="18" customHeight="1" x14ac:dyDescent="0.45">
      <c r="S781" s="2"/>
      <c r="T781" s="2"/>
    </row>
    <row r="782" spans="19:20" ht="18" customHeight="1" x14ac:dyDescent="0.45">
      <c r="S782" s="2"/>
      <c r="T782" s="2"/>
    </row>
    <row r="783" spans="19:20" ht="18" customHeight="1" x14ac:dyDescent="0.45">
      <c r="S783" s="2"/>
      <c r="T783" s="2"/>
    </row>
    <row r="784" spans="19:20" ht="18" customHeight="1" x14ac:dyDescent="0.45">
      <c r="S784" s="2"/>
      <c r="T784" s="2"/>
    </row>
    <row r="785" spans="19:20" ht="18" customHeight="1" x14ac:dyDescent="0.45">
      <c r="S785" s="2"/>
      <c r="T785" s="2"/>
    </row>
    <row r="786" spans="19:20" ht="18" customHeight="1" x14ac:dyDescent="0.45">
      <c r="S786" s="2"/>
      <c r="T786" s="2"/>
    </row>
    <row r="787" spans="19:20" ht="18" customHeight="1" x14ac:dyDescent="0.45">
      <c r="S787" s="2"/>
      <c r="T787" s="2"/>
    </row>
    <row r="788" spans="19:20" ht="18" customHeight="1" x14ac:dyDescent="0.45">
      <c r="S788" s="2"/>
      <c r="T788" s="2"/>
    </row>
    <row r="789" spans="19:20" ht="18" customHeight="1" x14ac:dyDescent="0.45">
      <c r="S789" s="2"/>
      <c r="T789" s="2"/>
    </row>
    <row r="790" spans="19:20" ht="18" customHeight="1" x14ac:dyDescent="0.45">
      <c r="S790" s="2"/>
      <c r="T790" s="2"/>
    </row>
    <row r="791" spans="19:20" ht="18" customHeight="1" x14ac:dyDescent="0.45">
      <c r="S791" s="2"/>
      <c r="T791" s="2"/>
    </row>
    <row r="792" spans="19:20" ht="18" customHeight="1" x14ac:dyDescent="0.45">
      <c r="S792" s="2"/>
      <c r="T792" s="2"/>
    </row>
    <row r="793" spans="19:20" ht="18" customHeight="1" x14ac:dyDescent="0.45">
      <c r="S793" s="2"/>
      <c r="T793" s="2"/>
    </row>
    <row r="794" spans="19:20" ht="18" customHeight="1" x14ac:dyDescent="0.45">
      <c r="S794" s="2"/>
      <c r="T794" s="2"/>
    </row>
    <row r="795" spans="19:20" ht="18" customHeight="1" x14ac:dyDescent="0.45">
      <c r="S795" s="2"/>
      <c r="T795" s="2"/>
    </row>
    <row r="796" spans="19:20" ht="18" customHeight="1" x14ac:dyDescent="0.45">
      <c r="S796" s="2"/>
      <c r="T796" s="2"/>
    </row>
    <row r="797" spans="19:20" ht="18" customHeight="1" x14ac:dyDescent="0.45">
      <c r="S797" s="2"/>
      <c r="T797" s="2"/>
    </row>
    <row r="798" spans="19:20" ht="18" customHeight="1" x14ac:dyDescent="0.45">
      <c r="S798" s="2"/>
      <c r="T798" s="2"/>
    </row>
    <row r="799" spans="19:20" ht="18" customHeight="1" x14ac:dyDescent="0.45">
      <c r="S799" s="2"/>
      <c r="T799" s="2"/>
    </row>
    <row r="800" spans="19:20" ht="18" customHeight="1" x14ac:dyDescent="0.45">
      <c r="S800" s="2"/>
      <c r="T800" s="2"/>
    </row>
    <row r="801" spans="19:20" ht="18" customHeight="1" x14ac:dyDescent="0.45">
      <c r="S801" s="2"/>
      <c r="T801" s="2"/>
    </row>
    <row r="802" spans="19:20" ht="18" customHeight="1" x14ac:dyDescent="0.45">
      <c r="S802" s="2"/>
      <c r="T802" s="2"/>
    </row>
    <row r="803" spans="19:20" ht="18" customHeight="1" x14ac:dyDescent="0.45">
      <c r="S803" s="2"/>
      <c r="T803" s="2"/>
    </row>
    <row r="804" spans="19:20" ht="18" customHeight="1" x14ac:dyDescent="0.45">
      <c r="S804" s="2"/>
      <c r="T804" s="2"/>
    </row>
    <row r="805" spans="19:20" ht="18" customHeight="1" x14ac:dyDescent="0.45">
      <c r="S805" s="2"/>
      <c r="T805" s="2"/>
    </row>
    <row r="806" spans="19:20" ht="18" customHeight="1" x14ac:dyDescent="0.45">
      <c r="S806" s="2"/>
      <c r="T806" s="2"/>
    </row>
    <row r="807" spans="19:20" ht="18" customHeight="1" x14ac:dyDescent="0.45">
      <c r="S807" s="2"/>
      <c r="T807" s="2"/>
    </row>
    <row r="808" spans="19:20" ht="18" customHeight="1" x14ac:dyDescent="0.45">
      <c r="S808" s="2"/>
      <c r="T808" s="2"/>
    </row>
    <row r="809" spans="19:20" ht="18" customHeight="1" x14ac:dyDescent="0.45">
      <c r="S809" s="2"/>
      <c r="T809" s="2"/>
    </row>
    <row r="810" spans="19:20" ht="18" customHeight="1" x14ac:dyDescent="0.45">
      <c r="S810" s="2"/>
      <c r="T810" s="2"/>
    </row>
    <row r="811" spans="19:20" ht="18" customHeight="1" x14ac:dyDescent="0.45">
      <c r="S811" s="2"/>
      <c r="T811" s="2"/>
    </row>
    <row r="812" spans="19:20" ht="18" customHeight="1" x14ac:dyDescent="0.45">
      <c r="S812" s="2"/>
      <c r="T812" s="2"/>
    </row>
    <row r="813" spans="19:20" ht="18" customHeight="1" x14ac:dyDescent="0.45">
      <c r="S813" s="2"/>
      <c r="T813" s="2"/>
    </row>
    <row r="814" spans="19:20" ht="18" customHeight="1" x14ac:dyDescent="0.45">
      <c r="S814" s="2"/>
      <c r="T814" s="2"/>
    </row>
    <row r="815" spans="19:20" ht="18" customHeight="1" x14ac:dyDescent="0.45">
      <c r="S815" s="2"/>
      <c r="T815" s="2"/>
    </row>
    <row r="816" spans="19:20" ht="18" customHeight="1" x14ac:dyDescent="0.45">
      <c r="S816" s="2"/>
      <c r="T816" s="2"/>
    </row>
    <row r="817" spans="19:20" ht="18" customHeight="1" x14ac:dyDescent="0.45">
      <c r="S817" s="2"/>
      <c r="T817" s="2"/>
    </row>
    <row r="818" spans="19:20" ht="18" customHeight="1" x14ac:dyDescent="0.45">
      <c r="S818" s="2"/>
      <c r="T818" s="2"/>
    </row>
    <row r="819" spans="19:20" ht="18" customHeight="1" x14ac:dyDescent="0.45">
      <c r="S819" s="2"/>
      <c r="T819" s="2"/>
    </row>
    <row r="820" spans="19:20" ht="18" customHeight="1" x14ac:dyDescent="0.45">
      <c r="S820" s="2"/>
      <c r="T820" s="2"/>
    </row>
    <row r="821" spans="19:20" ht="18" customHeight="1" x14ac:dyDescent="0.45">
      <c r="S821" s="2"/>
      <c r="T821" s="2"/>
    </row>
    <row r="822" spans="19:20" ht="18" customHeight="1" x14ac:dyDescent="0.45">
      <c r="S822" s="2"/>
      <c r="T822" s="2"/>
    </row>
    <row r="823" spans="19:20" ht="18" customHeight="1" x14ac:dyDescent="0.45">
      <c r="S823" s="2"/>
      <c r="T823" s="2"/>
    </row>
    <row r="824" spans="19:20" ht="18" customHeight="1" x14ac:dyDescent="0.45">
      <c r="S824" s="2"/>
      <c r="T824" s="2"/>
    </row>
    <row r="825" spans="19:20" ht="18" customHeight="1" x14ac:dyDescent="0.45">
      <c r="S825" s="2"/>
      <c r="T825" s="2"/>
    </row>
    <row r="826" spans="19:20" ht="18" customHeight="1" x14ac:dyDescent="0.45">
      <c r="S826" s="2"/>
      <c r="T826" s="2"/>
    </row>
    <row r="827" spans="19:20" ht="18" customHeight="1" x14ac:dyDescent="0.45">
      <c r="S827" s="2"/>
      <c r="T827" s="2"/>
    </row>
    <row r="828" spans="19:20" ht="18" customHeight="1" x14ac:dyDescent="0.45">
      <c r="S828" s="2"/>
      <c r="T828" s="2"/>
    </row>
    <row r="829" spans="19:20" ht="18" customHeight="1" x14ac:dyDescent="0.45">
      <c r="S829" s="2"/>
      <c r="T829" s="2"/>
    </row>
    <row r="830" spans="19:20" ht="18" customHeight="1" x14ac:dyDescent="0.45">
      <c r="S830" s="2"/>
      <c r="T830" s="2"/>
    </row>
    <row r="831" spans="19:20" ht="18" customHeight="1" x14ac:dyDescent="0.45">
      <c r="S831" s="2"/>
      <c r="T831" s="2"/>
    </row>
    <row r="832" spans="19:20" ht="18" customHeight="1" x14ac:dyDescent="0.45">
      <c r="S832" s="2"/>
      <c r="T832" s="2"/>
    </row>
    <row r="833" spans="19:20" ht="18" customHeight="1" x14ac:dyDescent="0.45">
      <c r="S833" s="2"/>
      <c r="T833" s="2"/>
    </row>
    <row r="834" spans="19:20" ht="18" customHeight="1" x14ac:dyDescent="0.45">
      <c r="S834" s="2"/>
      <c r="T834" s="2"/>
    </row>
    <row r="835" spans="19:20" ht="18" customHeight="1" x14ac:dyDescent="0.45">
      <c r="S835" s="2"/>
      <c r="T835" s="2"/>
    </row>
    <row r="836" spans="19:20" ht="18" customHeight="1" x14ac:dyDescent="0.45">
      <c r="S836" s="2"/>
      <c r="T836" s="2"/>
    </row>
    <row r="837" spans="19:20" ht="18" customHeight="1" x14ac:dyDescent="0.45">
      <c r="S837" s="2"/>
      <c r="T837" s="2"/>
    </row>
    <row r="838" spans="19:20" ht="18" customHeight="1" x14ac:dyDescent="0.45">
      <c r="S838" s="2"/>
      <c r="T838" s="2"/>
    </row>
    <row r="839" spans="19:20" ht="18" customHeight="1" x14ac:dyDescent="0.45">
      <c r="S839" s="2"/>
      <c r="T839" s="2"/>
    </row>
    <row r="840" spans="19:20" ht="18" customHeight="1" x14ac:dyDescent="0.45">
      <c r="S840" s="2"/>
      <c r="T840" s="2"/>
    </row>
    <row r="841" spans="19:20" ht="18" customHeight="1" x14ac:dyDescent="0.45">
      <c r="S841" s="2"/>
      <c r="T841" s="2"/>
    </row>
    <row r="842" spans="19:20" ht="18" customHeight="1" x14ac:dyDescent="0.45">
      <c r="S842" s="2"/>
      <c r="T842" s="2"/>
    </row>
    <row r="843" spans="19:20" ht="18" customHeight="1" x14ac:dyDescent="0.45">
      <c r="S843" s="2"/>
      <c r="T843" s="2"/>
    </row>
    <row r="844" spans="19:20" ht="18" customHeight="1" x14ac:dyDescent="0.45">
      <c r="S844" s="2"/>
      <c r="T844" s="2"/>
    </row>
    <row r="845" spans="19:20" ht="18" customHeight="1" x14ac:dyDescent="0.45">
      <c r="S845" s="2"/>
      <c r="T845" s="2"/>
    </row>
    <row r="846" spans="19:20" ht="18" customHeight="1" x14ac:dyDescent="0.45">
      <c r="S846" s="2"/>
      <c r="T846" s="2"/>
    </row>
    <row r="847" spans="19:20" ht="18" customHeight="1" x14ac:dyDescent="0.45">
      <c r="S847" s="2"/>
      <c r="T847" s="2"/>
    </row>
    <row r="848" spans="19:20" ht="18" customHeight="1" x14ac:dyDescent="0.45">
      <c r="S848" s="2"/>
      <c r="T848" s="2"/>
    </row>
    <row r="849" spans="19:20" ht="18" customHeight="1" x14ac:dyDescent="0.45">
      <c r="S849" s="2"/>
      <c r="T849" s="2"/>
    </row>
    <row r="850" spans="19:20" ht="18" customHeight="1" x14ac:dyDescent="0.45">
      <c r="S850" s="2"/>
      <c r="T850" s="2"/>
    </row>
    <row r="851" spans="19:20" ht="18" customHeight="1" x14ac:dyDescent="0.45">
      <c r="S851" s="2"/>
      <c r="T851" s="2"/>
    </row>
    <row r="852" spans="19:20" ht="18" customHeight="1" x14ac:dyDescent="0.45">
      <c r="S852" s="2"/>
      <c r="T852" s="2"/>
    </row>
    <row r="853" spans="19:20" ht="18" customHeight="1" x14ac:dyDescent="0.45">
      <c r="S853" s="2"/>
      <c r="T853" s="2"/>
    </row>
    <row r="854" spans="19:20" ht="18" customHeight="1" x14ac:dyDescent="0.45">
      <c r="S854" s="2"/>
      <c r="T854" s="2"/>
    </row>
    <row r="855" spans="19:20" ht="18" customHeight="1" x14ac:dyDescent="0.45">
      <c r="S855" s="2"/>
      <c r="T855" s="2"/>
    </row>
    <row r="856" spans="19:20" ht="18" customHeight="1" x14ac:dyDescent="0.45">
      <c r="S856" s="2"/>
      <c r="T856" s="2"/>
    </row>
    <row r="857" spans="19:20" ht="18" customHeight="1" x14ac:dyDescent="0.45">
      <c r="S857" s="2"/>
      <c r="T857" s="2"/>
    </row>
    <row r="858" spans="19:20" ht="18" customHeight="1" x14ac:dyDescent="0.45">
      <c r="S858" s="2"/>
      <c r="T858" s="2"/>
    </row>
    <row r="859" spans="19:20" ht="18" customHeight="1" x14ac:dyDescent="0.45">
      <c r="S859" s="2"/>
      <c r="T859" s="2"/>
    </row>
    <row r="860" spans="19:20" ht="18" customHeight="1" x14ac:dyDescent="0.45">
      <c r="S860" s="2"/>
      <c r="T860" s="2"/>
    </row>
    <row r="861" spans="19:20" ht="18" customHeight="1" x14ac:dyDescent="0.45">
      <c r="S861" s="2"/>
      <c r="T861" s="2"/>
    </row>
    <row r="862" spans="19:20" ht="18" customHeight="1" x14ac:dyDescent="0.45">
      <c r="S862" s="2"/>
      <c r="T862" s="2"/>
    </row>
    <row r="863" spans="19:20" ht="18" customHeight="1" x14ac:dyDescent="0.45">
      <c r="S863" s="2"/>
      <c r="T863" s="2"/>
    </row>
    <row r="864" spans="19:20" ht="18" customHeight="1" x14ac:dyDescent="0.45">
      <c r="S864" s="2"/>
      <c r="T864" s="2"/>
    </row>
    <row r="865" spans="19:20" ht="18" customHeight="1" x14ac:dyDescent="0.45">
      <c r="S865" s="2"/>
      <c r="T865" s="2"/>
    </row>
    <row r="866" spans="19:20" ht="18" customHeight="1" x14ac:dyDescent="0.45">
      <c r="S866" s="2"/>
      <c r="T866" s="2"/>
    </row>
    <row r="867" spans="19:20" ht="18" customHeight="1" x14ac:dyDescent="0.45">
      <c r="S867" s="2"/>
      <c r="T867" s="2"/>
    </row>
    <row r="868" spans="19:20" ht="18" customHeight="1" x14ac:dyDescent="0.45">
      <c r="S868" s="2"/>
      <c r="T868" s="2"/>
    </row>
    <row r="869" spans="19:20" ht="18" customHeight="1" x14ac:dyDescent="0.45">
      <c r="S869" s="2"/>
      <c r="T869" s="2"/>
    </row>
    <row r="870" spans="19:20" ht="18" customHeight="1" x14ac:dyDescent="0.45">
      <c r="S870" s="2"/>
      <c r="T870" s="2"/>
    </row>
    <row r="871" spans="19:20" ht="18" customHeight="1" x14ac:dyDescent="0.45">
      <c r="S871" s="2"/>
      <c r="T871" s="2"/>
    </row>
    <row r="872" spans="19:20" ht="18" customHeight="1" x14ac:dyDescent="0.45">
      <c r="S872" s="2"/>
      <c r="T872" s="2"/>
    </row>
    <row r="873" spans="19:20" ht="18" customHeight="1" x14ac:dyDescent="0.45">
      <c r="S873" s="2"/>
      <c r="T873" s="2"/>
    </row>
    <row r="874" spans="19:20" ht="18" customHeight="1" x14ac:dyDescent="0.45">
      <c r="S874" s="2"/>
      <c r="T874" s="2"/>
    </row>
    <row r="875" spans="19:20" ht="18" customHeight="1" x14ac:dyDescent="0.45">
      <c r="S875" s="2"/>
      <c r="T875" s="2"/>
    </row>
    <row r="876" spans="19:20" ht="18" customHeight="1" x14ac:dyDescent="0.45">
      <c r="S876" s="2"/>
      <c r="T876" s="2"/>
    </row>
    <row r="877" spans="19:20" ht="18" customHeight="1" x14ac:dyDescent="0.45">
      <c r="S877" s="2"/>
      <c r="T877" s="2"/>
    </row>
    <row r="878" spans="19:20" ht="18" customHeight="1" x14ac:dyDescent="0.45">
      <c r="S878" s="2"/>
      <c r="T878" s="2"/>
    </row>
    <row r="879" spans="19:20" ht="18" customHeight="1" x14ac:dyDescent="0.45">
      <c r="S879" s="2"/>
      <c r="T879" s="2"/>
    </row>
    <row r="880" spans="19:20" ht="18" customHeight="1" x14ac:dyDescent="0.45">
      <c r="S880" s="2"/>
      <c r="T880" s="2"/>
    </row>
    <row r="881" spans="19:20" ht="18" customHeight="1" x14ac:dyDescent="0.45">
      <c r="S881" s="2"/>
      <c r="T881" s="2"/>
    </row>
    <row r="882" spans="19:20" ht="18" customHeight="1" x14ac:dyDescent="0.45">
      <c r="S882" s="2"/>
      <c r="T882" s="2"/>
    </row>
    <row r="883" spans="19:20" ht="18" customHeight="1" x14ac:dyDescent="0.45">
      <c r="S883" s="2"/>
      <c r="T883" s="2"/>
    </row>
    <row r="884" spans="19:20" ht="18" customHeight="1" x14ac:dyDescent="0.45">
      <c r="S884" s="2"/>
      <c r="T884" s="2"/>
    </row>
    <row r="885" spans="19:20" ht="18" customHeight="1" x14ac:dyDescent="0.45">
      <c r="S885" s="2"/>
      <c r="T885" s="2"/>
    </row>
    <row r="886" spans="19:20" ht="18" customHeight="1" x14ac:dyDescent="0.45">
      <c r="S886" s="2"/>
      <c r="T886" s="2"/>
    </row>
    <row r="887" spans="19:20" ht="18" customHeight="1" x14ac:dyDescent="0.45">
      <c r="S887" s="2"/>
      <c r="T887" s="2"/>
    </row>
    <row r="888" spans="19:20" ht="18" customHeight="1" x14ac:dyDescent="0.45">
      <c r="S888" s="2"/>
      <c r="T888" s="2"/>
    </row>
    <row r="889" spans="19:20" ht="18" customHeight="1" x14ac:dyDescent="0.45">
      <c r="S889" s="2"/>
      <c r="T889" s="2"/>
    </row>
    <row r="890" spans="19:20" ht="18" customHeight="1" x14ac:dyDescent="0.45">
      <c r="S890" s="2"/>
      <c r="T890" s="2"/>
    </row>
    <row r="891" spans="19:20" ht="18" customHeight="1" x14ac:dyDescent="0.45">
      <c r="S891" s="2"/>
      <c r="T891" s="2"/>
    </row>
    <row r="892" spans="19:20" ht="18" customHeight="1" x14ac:dyDescent="0.45">
      <c r="S892" s="2"/>
      <c r="T892" s="2"/>
    </row>
    <row r="893" spans="19:20" ht="18" customHeight="1" x14ac:dyDescent="0.45">
      <c r="S893" s="2"/>
      <c r="T893" s="2"/>
    </row>
    <row r="894" spans="19:20" ht="18" customHeight="1" x14ac:dyDescent="0.45">
      <c r="S894" s="2"/>
      <c r="T894" s="2"/>
    </row>
    <row r="895" spans="19:20" ht="18" customHeight="1" x14ac:dyDescent="0.45">
      <c r="S895" s="2"/>
      <c r="T895" s="2"/>
    </row>
    <row r="896" spans="19:20" ht="18" customHeight="1" x14ac:dyDescent="0.45">
      <c r="S896" s="2"/>
      <c r="T896" s="2"/>
    </row>
    <row r="897" spans="19:20" ht="18" customHeight="1" x14ac:dyDescent="0.45">
      <c r="S897" s="2"/>
      <c r="T897" s="2"/>
    </row>
    <row r="898" spans="19:20" ht="18" customHeight="1" x14ac:dyDescent="0.45">
      <c r="S898" s="2"/>
      <c r="T898" s="2"/>
    </row>
    <row r="899" spans="19:20" ht="18" customHeight="1" x14ac:dyDescent="0.45">
      <c r="S899" s="2"/>
      <c r="T899" s="2"/>
    </row>
    <row r="900" spans="19:20" ht="18" customHeight="1" x14ac:dyDescent="0.45">
      <c r="S900" s="2"/>
      <c r="T900" s="2"/>
    </row>
    <row r="901" spans="19:20" ht="18" customHeight="1" x14ac:dyDescent="0.45">
      <c r="S901" s="2"/>
      <c r="T901" s="2"/>
    </row>
    <row r="902" spans="19:20" ht="18" customHeight="1" x14ac:dyDescent="0.45">
      <c r="S902" s="2"/>
      <c r="T902" s="2"/>
    </row>
    <row r="903" spans="19:20" ht="18" customHeight="1" x14ac:dyDescent="0.45">
      <c r="S903" s="2"/>
      <c r="T903" s="2"/>
    </row>
    <row r="904" spans="19:20" ht="18" customHeight="1" x14ac:dyDescent="0.45">
      <c r="S904" s="2"/>
      <c r="T904" s="2"/>
    </row>
    <row r="905" spans="19:20" ht="18" customHeight="1" x14ac:dyDescent="0.45">
      <c r="S905" s="2"/>
      <c r="T905" s="2"/>
    </row>
    <row r="906" spans="19:20" ht="18" customHeight="1" x14ac:dyDescent="0.45">
      <c r="S906" s="2"/>
      <c r="T906" s="2"/>
    </row>
    <row r="907" spans="19:20" ht="18" customHeight="1" x14ac:dyDescent="0.45">
      <c r="S907" s="2"/>
      <c r="T907" s="2"/>
    </row>
    <row r="908" spans="19:20" ht="18" customHeight="1" x14ac:dyDescent="0.45">
      <c r="S908" s="2"/>
      <c r="T908" s="2"/>
    </row>
    <row r="909" spans="19:20" ht="18" customHeight="1" x14ac:dyDescent="0.45">
      <c r="S909" s="2"/>
      <c r="T909" s="2"/>
    </row>
    <row r="910" spans="19:20" ht="18" customHeight="1" x14ac:dyDescent="0.45">
      <c r="S910" s="2"/>
      <c r="T910" s="2"/>
    </row>
    <row r="911" spans="19:20" ht="18" customHeight="1" x14ac:dyDescent="0.45">
      <c r="S911" s="2"/>
      <c r="T911" s="2"/>
    </row>
    <row r="912" spans="19:20" ht="18" customHeight="1" x14ac:dyDescent="0.45">
      <c r="S912" s="2"/>
      <c r="T912" s="2"/>
    </row>
    <row r="913" spans="19:20" ht="18" customHeight="1" x14ac:dyDescent="0.45">
      <c r="S913" s="2"/>
      <c r="T913" s="2"/>
    </row>
    <row r="914" spans="19:20" ht="18" customHeight="1" x14ac:dyDescent="0.45">
      <c r="S914" s="2"/>
      <c r="T914" s="2"/>
    </row>
    <row r="915" spans="19:20" ht="18" customHeight="1" x14ac:dyDescent="0.45">
      <c r="S915" s="2"/>
      <c r="T915" s="2"/>
    </row>
    <row r="916" spans="19:20" ht="18" customHeight="1" x14ac:dyDescent="0.45">
      <c r="S916" s="2"/>
      <c r="T916" s="2"/>
    </row>
    <row r="917" spans="19:20" ht="18" customHeight="1" x14ac:dyDescent="0.45">
      <c r="S917" s="2"/>
      <c r="T917" s="2"/>
    </row>
    <row r="918" spans="19:20" ht="18" customHeight="1" x14ac:dyDescent="0.45">
      <c r="S918" s="2"/>
      <c r="T918" s="2"/>
    </row>
    <row r="919" spans="19:20" ht="18" customHeight="1" x14ac:dyDescent="0.45">
      <c r="S919" s="2"/>
      <c r="T919" s="2"/>
    </row>
    <row r="920" spans="19:20" ht="18" customHeight="1" x14ac:dyDescent="0.45">
      <c r="S920" s="2"/>
      <c r="T920" s="2"/>
    </row>
    <row r="921" spans="19:20" ht="18" customHeight="1" x14ac:dyDescent="0.45">
      <c r="S921" s="2"/>
      <c r="T921" s="2"/>
    </row>
    <row r="922" spans="19:20" ht="18" customHeight="1" x14ac:dyDescent="0.45">
      <c r="S922" s="2"/>
      <c r="T922" s="2"/>
    </row>
    <row r="923" spans="19:20" ht="18" customHeight="1" x14ac:dyDescent="0.45">
      <c r="S923" s="2"/>
      <c r="T923" s="2"/>
    </row>
    <row r="924" spans="19:20" ht="18" customHeight="1" x14ac:dyDescent="0.45">
      <c r="S924" s="2"/>
      <c r="T924" s="2"/>
    </row>
    <row r="925" spans="19:20" ht="18" customHeight="1" x14ac:dyDescent="0.45">
      <c r="S925" s="2"/>
      <c r="T925" s="2"/>
    </row>
    <row r="926" spans="19:20" ht="18" customHeight="1" x14ac:dyDescent="0.45">
      <c r="S926" s="2"/>
      <c r="T926" s="2"/>
    </row>
    <row r="927" spans="19:20" ht="18" customHeight="1" x14ac:dyDescent="0.45">
      <c r="S927" s="2"/>
      <c r="T927" s="2"/>
    </row>
    <row r="928" spans="19:20" ht="18" customHeight="1" x14ac:dyDescent="0.45">
      <c r="S928" s="2"/>
      <c r="T928" s="2"/>
    </row>
    <row r="929" spans="19:20" ht="18" customHeight="1" x14ac:dyDescent="0.45">
      <c r="S929" s="2"/>
      <c r="T929" s="2"/>
    </row>
    <row r="930" spans="19:20" ht="18" customHeight="1" x14ac:dyDescent="0.45">
      <c r="S930" s="2"/>
      <c r="T930" s="2"/>
    </row>
    <row r="931" spans="19:20" ht="18" customHeight="1" x14ac:dyDescent="0.45">
      <c r="S931" s="2"/>
      <c r="T931" s="2"/>
    </row>
    <row r="932" spans="19:20" ht="18" customHeight="1" x14ac:dyDescent="0.45">
      <c r="S932" s="2"/>
      <c r="T932" s="2"/>
    </row>
    <row r="933" spans="19:20" ht="18" customHeight="1" x14ac:dyDescent="0.45">
      <c r="S933" s="2"/>
      <c r="T933" s="2"/>
    </row>
    <row r="934" spans="19:20" ht="18" customHeight="1" x14ac:dyDescent="0.45">
      <c r="S934" s="2"/>
      <c r="T934" s="2"/>
    </row>
    <row r="935" spans="19:20" ht="18" customHeight="1" x14ac:dyDescent="0.45">
      <c r="S935" s="2"/>
      <c r="T935" s="2"/>
    </row>
    <row r="936" spans="19:20" ht="18" customHeight="1" x14ac:dyDescent="0.45">
      <c r="S936" s="2"/>
      <c r="T936" s="2"/>
    </row>
    <row r="937" spans="19:20" ht="18" customHeight="1" x14ac:dyDescent="0.45">
      <c r="S937" s="2"/>
      <c r="T937" s="2"/>
    </row>
    <row r="938" spans="19:20" ht="18" customHeight="1" x14ac:dyDescent="0.45">
      <c r="S938" s="2"/>
      <c r="T938" s="2"/>
    </row>
    <row r="939" spans="19:20" ht="18" customHeight="1" x14ac:dyDescent="0.45">
      <c r="S939" s="2"/>
      <c r="T939" s="2"/>
    </row>
    <row r="940" spans="19:20" ht="18" customHeight="1" x14ac:dyDescent="0.45">
      <c r="S940" s="2"/>
      <c r="T940" s="2"/>
    </row>
    <row r="941" spans="19:20" ht="18" customHeight="1" x14ac:dyDescent="0.45">
      <c r="S941" s="2"/>
      <c r="T941" s="2"/>
    </row>
    <row r="942" spans="19:20" ht="18" customHeight="1" x14ac:dyDescent="0.45">
      <c r="S942" s="2"/>
      <c r="T942" s="2"/>
    </row>
    <row r="943" spans="19:20" ht="18" customHeight="1" x14ac:dyDescent="0.45">
      <c r="S943" s="2"/>
      <c r="T943" s="2"/>
    </row>
    <row r="944" spans="19:20" ht="18" customHeight="1" x14ac:dyDescent="0.45">
      <c r="S944" s="2"/>
      <c r="T944" s="2"/>
    </row>
    <row r="945" spans="19:20" ht="18" customHeight="1" x14ac:dyDescent="0.45">
      <c r="S945" s="2"/>
      <c r="T945" s="2"/>
    </row>
    <row r="946" spans="19:20" ht="18" customHeight="1" x14ac:dyDescent="0.45">
      <c r="S946" s="2"/>
      <c r="T946" s="2"/>
    </row>
    <row r="947" spans="19:20" ht="18" customHeight="1" x14ac:dyDescent="0.45">
      <c r="S947" s="2"/>
      <c r="T947" s="2"/>
    </row>
    <row r="948" spans="19:20" ht="18" customHeight="1" x14ac:dyDescent="0.45">
      <c r="S948" s="2"/>
      <c r="T948" s="2"/>
    </row>
    <row r="949" spans="19:20" ht="18" customHeight="1" x14ac:dyDescent="0.45">
      <c r="S949" s="2"/>
      <c r="T949" s="2"/>
    </row>
    <row r="950" spans="19:20" ht="18" customHeight="1" x14ac:dyDescent="0.45">
      <c r="S950" s="2"/>
      <c r="T950" s="2"/>
    </row>
    <row r="951" spans="19:20" ht="18" customHeight="1" x14ac:dyDescent="0.45">
      <c r="S951" s="2"/>
      <c r="T951" s="2"/>
    </row>
    <row r="952" spans="19:20" ht="18" customHeight="1" x14ac:dyDescent="0.45">
      <c r="S952" s="2"/>
      <c r="T952" s="2"/>
    </row>
    <row r="953" spans="19:20" ht="18" customHeight="1" x14ac:dyDescent="0.45">
      <c r="S953" s="2"/>
      <c r="T953" s="2"/>
    </row>
    <row r="954" spans="19:20" ht="18" customHeight="1" x14ac:dyDescent="0.45">
      <c r="S954" s="2"/>
      <c r="T954" s="2"/>
    </row>
    <row r="955" spans="19:20" ht="18" customHeight="1" x14ac:dyDescent="0.45">
      <c r="S955" s="2"/>
      <c r="T955" s="2"/>
    </row>
  </sheetData>
  <autoFilter ref="A1:T313" xr:uid="{0EA33430-E330-45F4-B998-63D58F949DA1}">
    <filterColumn colId="3">
      <filters>
        <filter val="浦和"/>
      </filters>
    </filterColumn>
    <sortState xmlns:xlrd2="http://schemas.microsoft.com/office/spreadsheetml/2017/richdata2" ref="A8:T308">
      <sortCondition ref="D1:D313"/>
    </sortState>
  </autoFilter>
  <phoneticPr fontId="3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001"/>
  <sheetViews>
    <sheetView topLeftCell="A28" workbookViewId="0">
      <selection activeCell="M44" sqref="M44"/>
    </sheetView>
  </sheetViews>
  <sheetFormatPr defaultColWidth="12.59765625" defaultRowHeight="15" customHeight="1" x14ac:dyDescent="0.45"/>
  <cols>
    <col min="1" max="1" width="3.265625" customWidth="1"/>
    <col min="2" max="2" width="13.9296875" bestFit="1" customWidth="1"/>
    <col min="3" max="3" width="12.59765625" customWidth="1"/>
    <col min="4" max="4" width="23.265625" customWidth="1"/>
    <col min="5" max="8" width="7.59765625" customWidth="1"/>
    <col min="9" max="9" width="10.1328125" style="8" bestFit="1" customWidth="1"/>
    <col min="10" max="10" width="10.1328125" bestFit="1" customWidth="1"/>
    <col min="11" max="11" width="11.73046875" bestFit="1" customWidth="1"/>
    <col min="12" max="12" width="10.59765625" bestFit="1" customWidth="1"/>
    <col min="13" max="13" width="8.06640625" bestFit="1" customWidth="1"/>
    <col min="14" max="14" width="9.1328125" bestFit="1" customWidth="1"/>
    <col min="15" max="15" width="9.53125" bestFit="1" customWidth="1"/>
    <col min="16" max="16" width="8.3984375" bestFit="1" customWidth="1"/>
    <col min="17" max="17" width="7.59765625" customWidth="1"/>
    <col min="18" max="18" width="9.06640625" bestFit="1" customWidth="1"/>
    <col min="19" max="19" width="10.59765625" bestFit="1" customWidth="1"/>
    <col min="20" max="20" width="11.1328125" bestFit="1" customWidth="1"/>
    <col min="21" max="21" width="13.9296875" bestFit="1" customWidth="1"/>
    <col min="22" max="22" width="8.3984375" bestFit="1" customWidth="1"/>
    <col min="23" max="24" width="9.46484375" bestFit="1" customWidth="1"/>
    <col min="25" max="25" width="8.3984375" bestFit="1" customWidth="1"/>
    <col min="26" max="26" width="7.59765625" customWidth="1"/>
  </cols>
  <sheetData>
    <row r="1" spans="1:25" ht="18" customHeight="1" x14ac:dyDescent="0.45">
      <c r="B1" s="1" t="s">
        <v>451</v>
      </c>
      <c r="C1" s="1" t="s">
        <v>452</v>
      </c>
      <c r="D1" s="1" t="s">
        <v>453</v>
      </c>
      <c r="F1" s="1">
        <v>3617</v>
      </c>
      <c r="G1" s="1">
        <v>306</v>
      </c>
    </row>
    <row r="2" spans="1:25" ht="18" customHeight="1" x14ac:dyDescent="0.45">
      <c r="B2" s="1" t="s">
        <v>454</v>
      </c>
      <c r="C2" s="1" t="s">
        <v>455</v>
      </c>
      <c r="D2" s="1" t="s">
        <v>453</v>
      </c>
      <c r="F2" s="1">
        <v>6317</v>
      </c>
      <c r="G2" s="1">
        <v>306</v>
      </c>
    </row>
    <row r="3" spans="1:25" ht="18" customHeight="1" x14ac:dyDescent="0.45">
      <c r="B3" s="1" t="s">
        <v>454</v>
      </c>
      <c r="C3" s="1" t="s">
        <v>452</v>
      </c>
      <c r="D3" s="1" t="s">
        <v>456</v>
      </c>
      <c r="F3" s="1">
        <v>665</v>
      </c>
      <c r="G3" s="1">
        <v>180</v>
      </c>
    </row>
    <row r="4" spans="1:25" ht="18" customHeight="1" x14ac:dyDescent="0.45">
      <c r="G4" s="1">
        <f>SUM(G1:G3)</f>
        <v>792</v>
      </c>
    </row>
    <row r="5" spans="1:25" ht="18" customHeight="1" x14ac:dyDescent="0.45">
      <c r="B5" s="1" t="s">
        <v>454</v>
      </c>
      <c r="C5" s="1" t="s">
        <v>455</v>
      </c>
      <c r="D5" s="1" t="s">
        <v>457</v>
      </c>
      <c r="F5" s="1">
        <v>349</v>
      </c>
      <c r="G5" s="1">
        <v>108</v>
      </c>
    </row>
    <row r="6" spans="1:25" ht="18" customHeight="1" x14ac:dyDescent="0.45">
      <c r="B6" s="1" t="s">
        <v>458</v>
      </c>
      <c r="C6" s="1" t="s">
        <v>452</v>
      </c>
      <c r="D6" s="1" t="s">
        <v>457</v>
      </c>
      <c r="F6" s="1">
        <v>469</v>
      </c>
      <c r="G6" s="1">
        <v>216</v>
      </c>
    </row>
    <row r="7" spans="1:25" ht="18" customHeight="1" x14ac:dyDescent="0.45">
      <c r="B7" s="1" t="s">
        <v>458</v>
      </c>
      <c r="C7" s="1" t="s">
        <v>458</v>
      </c>
      <c r="D7" s="1" t="s">
        <v>453</v>
      </c>
      <c r="F7" s="1">
        <v>4417</v>
      </c>
      <c r="G7" s="1">
        <v>272</v>
      </c>
    </row>
    <row r="8" spans="1:25" ht="18" customHeight="1" x14ac:dyDescent="0.45">
      <c r="G8" s="1">
        <f>SUM(G5:G7)</f>
        <v>596</v>
      </c>
    </row>
    <row r="9" spans="1:25" ht="18" customHeight="1" x14ac:dyDescent="0.45"/>
    <row r="10" spans="1:25" ht="18" customHeight="1" x14ac:dyDescent="0.45">
      <c r="G10" s="1">
        <f>G4+G8</f>
        <v>1388</v>
      </c>
      <c r="H10" s="1">
        <f>G10*50</f>
        <v>69400</v>
      </c>
      <c r="I10" s="9" t="s">
        <v>459</v>
      </c>
      <c r="R10" s="1" t="s">
        <v>459</v>
      </c>
    </row>
    <row r="11" spans="1:25" ht="18" customHeight="1" x14ac:dyDescent="0.45">
      <c r="A11" s="5" t="s">
        <v>0</v>
      </c>
      <c r="B11" s="5"/>
      <c r="C11" s="5"/>
      <c r="D11" s="5"/>
      <c r="E11" s="5"/>
      <c r="F11" s="5"/>
      <c r="G11" s="5"/>
      <c r="H11" s="5"/>
      <c r="I11" s="9" t="s">
        <v>460</v>
      </c>
      <c r="J11" s="1" t="s">
        <v>461</v>
      </c>
      <c r="K11" s="1" t="s">
        <v>462</v>
      </c>
      <c r="L11" s="1" t="s">
        <v>463</v>
      </c>
      <c r="M11" s="1" t="s">
        <v>464</v>
      </c>
      <c r="N11" s="1" t="s">
        <v>465</v>
      </c>
      <c r="O11" s="1" t="s">
        <v>466</v>
      </c>
      <c r="P11" s="1" t="s">
        <v>464</v>
      </c>
      <c r="R11" s="1" t="s">
        <v>460</v>
      </c>
      <c r="S11" s="1" t="s">
        <v>461</v>
      </c>
      <c r="T11" s="1" t="s">
        <v>462</v>
      </c>
      <c r="U11" s="1" t="s">
        <v>463</v>
      </c>
      <c r="V11" s="1" t="s">
        <v>464</v>
      </c>
      <c r="W11" s="1" t="s">
        <v>465</v>
      </c>
      <c r="X11" s="1" t="s">
        <v>466</v>
      </c>
      <c r="Y11" s="1" t="s">
        <v>464</v>
      </c>
    </row>
    <row r="12" spans="1:25" ht="18" customHeight="1" x14ac:dyDescent="0.45">
      <c r="A12" s="5">
        <v>1</v>
      </c>
      <c r="B12" s="5" t="s">
        <v>467</v>
      </c>
      <c r="C12" s="5" t="s">
        <v>452</v>
      </c>
      <c r="D12" s="5" t="s">
        <v>468</v>
      </c>
      <c r="E12" s="5">
        <v>36</v>
      </c>
      <c r="F12" s="5">
        <v>966</v>
      </c>
      <c r="G12" s="5">
        <v>324</v>
      </c>
      <c r="H12" s="5"/>
      <c r="I12" s="9">
        <v>5</v>
      </c>
      <c r="J12" s="9">
        <v>1700000</v>
      </c>
      <c r="K12" s="2">
        <f t="shared" ref="K12:K17" si="0">J12/I12</f>
        <v>340000</v>
      </c>
      <c r="L12" s="2">
        <f>G12*50*273</f>
        <v>4422600</v>
      </c>
      <c r="M12" s="6">
        <f t="shared" ref="M12:M17" si="1">J12/L12</f>
        <v>0.38438927327816219</v>
      </c>
      <c r="N12" s="1">
        <v>200000</v>
      </c>
      <c r="O12" s="2">
        <f t="shared" ref="O12:O17" si="2">(K12+N12)/2</f>
        <v>270000</v>
      </c>
      <c r="P12" s="6">
        <f t="shared" ref="P12:P17" si="3">O12*I12/L12</f>
        <v>0.30525030525030528</v>
      </c>
      <c r="R12" s="5">
        <v>3</v>
      </c>
      <c r="S12" s="2">
        <v>1010000</v>
      </c>
      <c r="T12" s="2">
        <f t="shared" ref="T12:T16" si="4">S12/R12</f>
        <v>336666.66666666669</v>
      </c>
      <c r="U12" s="2">
        <f t="shared" ref="U12:U16" si="5">G12*50*37</f>
        <v>599400</v>
      </c>
      <c r="V12" s="6">
        <f t="shared" ref="V12:V16" si="6">S12/U12</f>
        <v>1.6850183516850183</v>
      </c>
      <c r="W12" s="2">
        <v>60000</v>
      </c>
      <c r="X12" s="2">
        <f t="shared" ref="X12:X16" si="7">(T12+W12)/2</f>
        <v>198333.33333333334</v>
      </c>
      <c r="Y12" s="6">
        <f t="shared" ref="Y12:Y16" si="8">X12*R12/U12</f>
        <v>0.99265932599265938</v>
      </c>
    </row>
    <row r="13" spans="1:25" ht="18" customHeight="1" x14ac:dyDescent="0.45">
      <c r="A13" s="5">
        <v>2</v>
      </c>
      <c r="B13" s="5" t="s">
        <v>467</v>
      </c>
      <c r="C13" s="7" t="s">
        <v>469</v>
      </c>
      <c r="D13" s="5" t="s">
        <v>470</v>
      </c>
      <c r="E13" s="5">
        <v>32</v>
      </c>
      <c r="F13" s="5">
        <v>927</v>
      </c>
      <c r="G13" s="5">
        <v>126</v>
      </c>
      <c r="H13" s="5"/>
      <c r="I13" s="8">
        <v>2</v>
      </c>
      <c r="J13" s="8">
        <v>1500000</v>
      </c>
      <c r="K13" s="2">
        <f t="shared" si="0"/>
        <v>750000</v>
      </c>
      <c r="L13" s="2">
        <f t="shared" ref="L13:L17" si="9">G13*50*273</f>
        <v>1719900</v>
      </c>
      <c r="M13" s="6">
        <f t="shared" si="1"/>
        <v>0.87214372928658646</v>
      </c>
      <c r="N13">
        <v>100000</v>
      </c>
      <c r="O13" s="2">
        <f t="shared" si="2"/>
        <v>425000</v>
      </c>
      <c r="P13" s="6">
        <f t="shared" si="3"/>
        <v>0.49421477992906565</v>
      </c>
      <c r="R13" s="5">
        <v>3</v>
      </c>
      <c r="S13" s="2">
        <v>910000</v>
      </c>
      <c r="T13" s="2">
        <f t="shared" si="4"/>
        <v>303333.33333333331</v>
      </c>
      <c r="U13" s="2">
        <f t="shared" si="5"/>
        <v>233100</v>
      </c>
      <c r="V13" s="6">
        <f t="shared" si="6"/>
        <v>3.9039039039039038</v>
      </c>
      <c r="W13" s="2">
        <v>300000</v>
      </c>
      <c r="X13" s="2">
        <f t="shared" si="7"/>
        <v>301666.66666666663</v>
      </c>
      <c r="Y13" s="6">
        <f t="shared" si="8"/>
        <v>3.8824538824538819</v>
      </c>
    </row>
    <row r="14" spans="1:25" ht="18" customHeight="1" x14ac:dyDescent="0.45">
      <c r="A14" s="5">
        <v>3</v>
      </c>
      <c r="B14" s="5" t="s">
        <v>467</v>
      </c>
      <c r="C14" s="5" t="s">
        <v>471</v>
      </c>
      <c r="D14" s="5" t="s">
        <v>470</v>
      </c>
      <c r="E14" s="5">
        <v>53</v>
      </c>
      <c r="F14" s="5">
        <v>957</v>
      </c>
      <c r="G14" s="5">
        <v>315</v>
      </c>
      <c r="H14" s="5"/>
      <c r="I14" s="8">
        <v>9</v>
      </c>
      <c r="J14" s="8">
        <v>15700000</v>
      </c>
      <c r="K14" s="2">
        <f t="shared" si="0"/>
        <v>1744444.4444444445</v>
      </c>
      <c r="L14" s="2">
        <f t="shared" si="9"/>
        <v>4299750</v>
      </c>
      <c r="M14" s="6">
        <f t="shared" si="1"/>
        <v>3.6513750799465083</v>
      </c>
      <c r="N14">
        <v>300000</v>
      </c>
      <c r="O14" s="2">
        <f t="shared" si="2"/>
        <v>1022222.2222222222</v>
      </c>
      <c r="P14" s="6">
        <f t="shared" si="3"/>
        <v>2.1396592825164253</v>
      </c>
      <c r="R14" s="5">
        <v>5</v>
      </c>
      <c r="S14" s="2">
        <v>34000000</v>
      </c>
      <c r="T14" s="2">
        <f t="shared" si="4"/>
        <v>6800000</v>
      </c>
      <c r="U14" s="2">
        <f t="shared" si="5"/>
        <v>582750</v>
      </c>
      <c r="V14" s="6">
        <f t="shared" si="6"/>
        <v>58.344058344058347</v>
      </c>
      <c r="W14" s="2">
        <v>2400000</v>
      </c>
      <c r="X14" s="2">
        <f t="shared" si="7"/>
        <v>4600000</v>
      </c>
      <c r="Y14" s="6">
        <f t="shared" si="8"/>
        <v>39.468039468039471</v>
      </c>
    </row>
    <row r="15" spans="1:25" ht="18" customHeight="1" x14ac:dyDescent="0.45">
      <c r="A15" s="5">
        <v>4</v>
      </c>
      <c r="B15" s="5" t="s">
        <v>467</v>
      </c>
      <c r="C15" s="5" t="s">
        <v>471</v>
      </c>
      <c r="D15" s="5" t="s">
        <v>472</v>
      </c>
      <c r="E15" s="5">
        <v>60</v>
      </c>
      <c r="F15" s="5">
        <v>9512</v>
      </c>
      <c r="G15" s="5">
        <v>540</v>
      </c>
      <c r="H15" s="5"/>
      <c r="I15" s="8">
        <v>5</v>
      </c>
      <c r="J15" s="8">
        <v>3230000</v>
      </c>
      <c r="K15" s="2">
        <f t="shared" si="0"/>
        <v>646000</v>
      </c>
      <c r="L15" s="2">
        <f t="shared" si="9"/>
        <v>7371000</v>
      </c>
      <c r="M15" s="6">
        <f t="shared" si="1"/>
        <v>0.43820377153710488</v>
      </c>
      <c r="N15">
        <v>400000</v>
      </c>
      <c r="O15" s="2">
        <f t="shared" si="2"/>
        <v>523000</v>
      </c>
      <c r="P15" s="6">
        <f t="shared" si="3"/>
        <v>0.35476868810202145</v>
      </c>
      <c r="R15" s="5">
        <v>3</v>
      </c>
      <c r="S15" s="2">
        <v>5370000</v>
      </c>
      <c r="T15" s="2">
        <f t="shared" si="4"/>
        <v>1790000</v>
      </c>
      <c r="U15" s="2">
        <f t="shared" si="5"/>
        <v>999000</v>
      </c>
      <c r="V15" s="6">
        <f t="shared" si="6"/>
        <v>5.3753753753753752</v>
      </c>
      <c r="W15" s="2">
        <v>460000</v>
      </c>
      <c r="X15" s="2">
        <f t="shared" si="7"/>
        <v>1125000</v>
      </c>
      <c r="Y15" s="6">
        <f t="shared" si="8"/>
        <v>3.3783783783783785</v>
      </c>
    </row>
    <row r="16" spans="1:25" ht="18" customHeight="1" x14ac:dyDescent="0.45">
      <c r="A16" s="5">
        <v>5</v>
      </c>
      <c r="B16" s="5" t="s">
        <v>473</v>
      </c>
      <c r="C16" s="5" t="s">
        <v>474</v>
      </c>
      <c r="D16" s="5" t="s">
        <v>475</v>
      </c>
      <c r="E16" s="5">
        <v>32</v>
      </c>
      <c r="F16" s="5">
        <v>8210</v>
      </c>
      <c r="G16" s="5">
        <v>160</v>
      </c>
      <c r="H16" s="5"/>
      <c r="I16" s="8">
        <v>2</v>
      </c>
      <c r="J16" s="8">
        <v>10780000</v>
      </c>
      <c r="K16" s="2">
        <f t="shared" si="0"/>
        <v>5390000</v>
      </c>
      <c r="L16" s="2">
        <f t="shared" si="9"/>
        <v>2184000</v>
      </c>
      <c r="M16" s="6">
        <f t="shared" si="1"/>
        <v>4.9358974358974361</v>
      </c>
      <c r="N16">
        <v>2000000</v>
      </c>
      <c r="O16" s="2">
        <f t="shared" si="2"/>
        <v>3695000</v>
      </c>
      <c r="P16" s="6">
        <f t="shared" si="3"/>
        <v>3.3836996336996337</v>
      </c>
      <c r="R16" s="5">
        <v>2</v>
      </c>
      <c r="S16" s="2">
        <v>7300000</v>
      </c>
      <c r="T16" s="2">
        <f t="shared" si="4"/>
        <v>3650000</v>
      </c>
      <c r="U16" s="2">
        <f t="shared" si="5"/>
        <v>296000</v>
      </c>
      <c r="V16" s="6">
        <f t="shared" si="6"/>
        <v>24.662162162162161</v>
      </c>
      <c r="W16" s="2">
        <v>600000</v>
      </c>
      <c r="X16" s="2">
        <f t="shared" si="7"/>
        <v>2125000</v>
      </c>
      <c r="Y16" s="6">
        <f t="shared" si="8"/>
        <v>14.358108108108109</v>
      </c>
    </row>
    <row r="17" spans="1:25" ht="18" customHeight="1" x14ac:dyDescent="0.45">
      <c r="A17" s="5">
        <v>6</v>
      </c>
      <c r="B17" s="5" t="s">
        <v>473</v>
      </c>
      <c r="C17" s="5" t="s">
        <v>476</v>
      </c>
      <c r="D17" s="5" t="s">
        <v>477</v>
      </c>
      <c r="E17" s="5">
        <v>128</v>
      </c>
      <c r="F17" s="5">
        <v>8424</v>
      </c>
      <c r="G17" s="5">
        <v>768</v>
      </c>
      <c r="H17" s="5"/>
      <c r="I17" s="8">
        <v>9</v>
      </c>
      <c r="J17" s="8">
        <v>13900000</v>
      </c>
      <c r="K17" s="2">
        <f t="shared" si="0"/>
        <v>1544444.4444444445</v>
      </c>
      <c r="L17" s="2">
        <f t="shared" si="9"/>
        <v>10483200</v>
      </c>
      <c r="M17" s="6">
        <f t="shared" si="1"/>
        <v>1.3259310134310134</v>
      </c>
      <c r="N17">
        <v>1000000</v>
      </c>
      <c r="O17" s="2">
        <f t="shared" si="2"/>
        <v>1272222.2222222222</v>
      </c>
      <c r="P17" s="6">
        <f t="shared" si="3"/>
        <v>1.0922237484737485</v>
      </c>
      <c r="R17" s="5">
        <v>4</v>
      </c>
      <c r="S17" s="2">
        <v>11500000</v>
      </c>
      <c r="T17" s="2">
        <f t="shared" ref="T17" si="10">S17/R17</f>
        <v>2875000</v>
      </c>
      <c r="U17" s="2">
        <f t="shared" ref="U17" si="11">G17*50*37</f>
        <v>1420800</v>
      </c>
      <c r="V17" s="6">
        <f t="shared" ref="V17" si="12">S17/U17</f>
        <v>8.094031531531531</v>
      </c>
      <c r="W17" s="2">
        <v>1000000</v>
      </c>
      <c r="X17" s="2">
        <f t="shared" ref="X17" si="13">(T17+W17)/2</f>
        <v>1937500</v>
      </c>
      <c r="Y17" s="6">
        <f t="shared" ref="Y17" si="14">X17*R17/U17</f>
        <v>5.4546734234234231</v>
      </c>
    </row>
    <row r="18" spans="1:25" ht="18" customHeight="1" x14ac:dyDescent="0.45">
      <c r="A18" s="5"/>
      <c r="B18" s="5"/>
      <c r="C18" s="5"/>
      <c r="D18" s="5"/>
      <c r="E18" s="5">
        <f>SUM(E12:E17)</f>
        <v>341</v>
      </c>
      <c r="F18" s="5"/>
      <c r="G18" s="5">
        <v>970</v>
      </c>
      <c r="H18" s="5">
        <f>G18*50</f>
        <v>48500</v>
      </c>
      <c r="I18" s="8">
        <f>SUM(I12:I17)</f>
        <v>32</v>
      </c>
      <c r="J18" s="8">
        <f>SUM(J12:J17)</f>
        <v>46810000</v>
      </c>
      <c r="K18" s="8">
        <f>SUM(K12:K17)</f>
        <v>10414888.888888888</v>
      </c>
      <c r="L18" s="8">
        <f>SUM(L12:L17)</f>
        <v>30480450</v>
      </c>
      <c r="M18" s="6">
        <f>J18/L18</f>
        <v>1.5357384815512893</v>
      </c>
      <c r="N18">
        <v>330000</v>
      </c>
      <c r="O18" s="2">
        <f>(K18+N18)/2</f>
        <v>5372444.444444444</v>
      </c>
      <c r="P18" s="6">
        <f>O18*I18/L18</f>
        <v>5.6402783496379554</v>
      </c>
      <c r="R18" s="2">
        <f t="shared" ref="R18:S18" si="15">SUM(R12:R17)</f>
        <v>20</v>
      </c>
      <c r="S18" s="2">
        <f t="shared" si="15"/>
        <v>60090000</v>
      </c>
      <c r="T18" s="2">
        <f>S18/R18</f>
        <v>3004500</v>
      </c>
      <c r="U18" s="2">
        <f>SUM(U12:U17)</f>
        <v>4131050</v>
      </c>
      <c r="V18" s="6">
        <f>S18/U18</f>
        <v>14.545938683869718</v>
      </c>
      <c r="W18" s="2">
        <v>588000</v>
      </c>
      <c r="X18" s="2">
        <f>(T18+W18)/2</f>
        <v>1796250</v>
      </c>
      <c r="Y18" s="6">
        <f>X18*R18/U18</f>
        <v>8.6963362825431787</v>
      </c>
    </row>
    <row r="19" spans="1:25" ht="18" customHeight="1" x14ac:dyDescent="0.45"/>
    <row r="20" spans="1:25" ht="18" customHeight="1" x14ac:dyDescent="0.45"/>
    <row r="21" spans="1:25" ht="18" customHeight="1" x14ac:dyDescent="0.45"/>
    <row r="22" spans="1:25" ht="18" customHeight="1" x14ac:dyDescent="0.45">
      <c r="B22" s="12" t="s">
        <v>478</v>
      </c>
      <c r="C22" s="12" t="s">
        <v>479</v>
      </c>
      <c r="D22" s="12" t="s">
        <v>480</v>
      </c>
      <c r="F22">
        <v>161012</v>
      </c>
    </row>
    <row r="23" spans="1:25" ht="18" customHeight="1" x14ac:dyDescent="0.45">
      <c r="B23" s="12" t="s">
        <v>478</v>
      </c>
      <c r="C23" s="12" t="s">
        <v>480</v>
      </c>
      <c r="D23" s="12" t="s">
        <v>479</v>
      </c>
      <c r="F23">
        <v>161012</v>
      </c>
    </row>
    <row r="24" spans="1:25" ht="18" customHeight="1" x14ac:dyDescent="0.45">
      <c r="B24" s="12" t="s">
        <v>480</v>
      </c>
      <c r="C24" s="12" t="s">
        <v>479</v>
      </c>
      <c r="D24" s="12" t="s">
        <v>478</v>
      </c>
      <c r="F24">
        <v>161012</v>
      </c>
    </row>
    <row r="25" spans="1:25" ht="18" customHeight="1" x14ac:dyDescent="0.45">
      <c r="B25" s="12" t="s">
        <v>479</v>
      </c>
      <c r="C25" s="12" t="s">
        <v>480</v>
      </c>
      <c r="D25" s="12" t="s">
        <v>478</v>
      </c>
      <c r="F25">
        <v>161012</v>
      </c>
    </row>
    <row r="26" spans="1:25" ht="18" customHeight="1" x14ac:dyDescent="0.45">
      <c r="B26" s="12"/>
    </row>
    <row r="27" spans="1:25" ht="18" customHeight="1" x14ac:dyDescent="0.45">
      <c r="B27" t="s">
        <v>481</v>
      </c>
    </row>
    <row r="28" spans="1:25" ht="18" customHeight="1" x14ac:dyDescent="0.45">
      <c r="B28" t="s">
        <v>482</v>
      </c>
    </row>
    <row r="29" spans="1:25" ht="18" customHeight="1" x14ac:dyDescent="0.45">
      <c r="B29" t="s">
        <v>483</v>
      </c>
    </row>
    <row r="30" spans="1:25" ht="18" customHeight="1" x14ac:dyDescent="0.45">
      <c r="B30" t="s">
        <v>482</v>
      </c>
    </row>
    <row r="31" spans="1:25" ht="18" customHeight="1" x14ac:dyDescent="0.45">
      <c r="B31" t="s">
        <v>484</v>
      </c>
    </row>
    <row r="32" spans="1:25" ht="18" customHeight="1" x14ac:dyDescent="0.45">
      <c r="B32" t="s">
        <v>482</v>
      </c>
    </row>
    <row r="33" spans="2:25" ht="18" customHeight="1" x14ac:dyDescent="0.45">
      <c r="B33" t="s">
        <v>485</v>
      </c>
    </row>
    <row r="34" spans="2:25" ht="18" customHeight="1" x14ac:dyDescent="0.45">
      <c r="I34" s="8">
        <v>2025</v>
      </c>
      <c r="R34">
        <v>2026</v>
      </c>
    </row>
    <row r="35" spans="2:25" ht="18" customHeight="1" x14ac:dyDescent="0.45">
      <c r="I35" s="9" t="s">
        <v>460</v>
      </c>
      <c r="J35" s="1" t="s">
        <v>461</v>
      </c>
      <c r="K35" s="1" t="s">
        <v>462</v>
      </c>
      <c r="L35" s="1" t="s">
        <v>463</v>
      </c>
      <c r="M35" s="1" t="s">
        <v>464</v>
      </c>
      <c r="N35" s="1" t="s">
        <v>465</v>
      </c>
      <c r="O35" s="1" t="s">
        <v>466</v>
      </c>
      <c r="P35" s="1" t="s">
        <v>464</v>
      </c>
      <c r="R35" s="1" t="s">
        <v>460</v>
      </c>
      <c r="S35" s="1" t="s">
        <v>461</v>
      </c>
      <c r="T35" s="1" t="s">
        <v>462</v>
      </c>
      <c r="U35" s="1" t="s">
        <v>463</v>
      </c>
      <c r="V35" s="1" t="s">
        <v>464</v>
      </c>
      <c r="W35" s="1" t="s">
        <v>465</v>
      </c>
      <c r="X35" s="1" t="s">
        <v>466</v>
      </c>
      <c r="Y35" s="1" t="s">
        <v>464</v>
      </c>
    </row>
    <row r="36" spans="2:25" ht="18" customHeight="1" x14ac:dyDescent="0.45">
      <c r="B36" s="12" t="s">
        <v>503</v>
      </c>
      <c r="C36" s="12" t="s">
        <v>498</v>
      </c>
      <c r="D36" s="12" t="s">
        <v>499</v>
      </c>
      <c r="E36" s="12">
        <v>1044</v>
      </c>
      <c r="F36" s="12">
        <v>160</v>
      </c>
      <c r="G36" s="12">
        <v>1</v>
      </c>
      <c r="I36" s="8">
        <v>4</v>
      </c>
      <c r="J36" s="8">
        <v>1290000</v>
      </c>
      <c r="K36" s="8">
        <f>J36/I36</f>
        <v>322500</v>
      </c>
      <c r="L36" s="8">
        <f>F36*50*273</f>
        <v>2184000</v>
      </c>
      <c r="M36" s="13">
        <f>J36/L36</f>
        <v>0.59065934065934067</v>
      </c>
      <c r="N36" s="8">
        <v>200000</v>
      </c>
      <c r="O36" s="8">
        <f>(K36+N36)/2</f>
        <v>261250</v>
      </c>
      <c r="P36" s="13">
        <f>O36*I36/L36</f>
        <v>0.4784798534798535</v>
      </c>
      <c r="R36">
        <v>0</v>
      </c>
      <c r="S36" s="8">
        <v>0</v>
      </c>
      <c r="T36" s="8" t="e">
        <f>S36/R36</f>
        <v>#DIV/0!</v>
      </c>
      <c r="U36" s="8">
        <f>F36*50*39</f>
        <v>312000</v>
      </c>
      <c r="V36" s="13">
        <f>S36/U36</f>
        <v>0</v>
      </c>
      <c r="W36" s="8"/>
      <c r="X36" s="8" t="e">
        <f>(T36+W36)/2</f>
        <v>#DIV/0!</v>
      </c>
      <c r="Y36" s="13" t="e">
        <f>X36*R36/U36</f>
        <v>#DIV/0!</v>
      </c>
    </row>
    <row r="37" spans="2:25" ht="18" customHeight="1" x14ac:dyDescent="0.45">
      <c r="B37" s="12" t="s">
        <v>502</v>
      </c>
      <c r="C37" s="12" t="s">
        <v>494</v>
      </c>
      <c r="D37" s="12" t="s">
        <v>499</v>
      </c>
      <c r="E37" s="12">
        <v>1064</v>
      </c>
      <c r="F37" s="12">
        <v>240</v>
      </c>
      <c r="G37" s="12">
        <v>2</v>
      </c>
      <c r="I37" s="8">
        <v>26</v>
      </c>
      <c r="J37" s="8">
        <v>4280000</v>
      </c>
      <c r="K37" s="8">
        <f t="shared" ref="K37:K43" si="16">J37/I37</f>
        <v>164615.38461538462</v>
      </c>
      <c r="L37" s="8">
        <f t="shared" ref="L37:L43" si="17">F37*50*273</f>
        <v>3276000</v>
      </c>
      <c r="M37" s="13">
        <f t="shared" ref="M37:M43" si="18">J37/L37</f>
        <v>1.3064713064713065</v>
      </c>
      <c r="N37" s="8">
        <v>250000</v>
      </c>
      <c r="O37" s="8">
        <v>75000</v>
      </c>
      <c r="P37" s="13">
        <f t="shared" ref="P37:P43" si="19">O37*I37/L37</f>
        <v>0.59523809523809523</v>
      </c>
      <c r="R37">
        <v>3</v>
      </c>
      <c r="S37" s="8">
        <v>2940000</v>
      </c>
      <c r="T37" s="8">
        <f t="shared" ref="T37:T44" si="20">S37/R37</f>
        <v>980000</v>
      </c>
      <c r="U37" s="8">
        <f t="shared" ref="U37:U44" si="21">F37*50*39</f>
        <v>468000</v>
      </c>
      <c r="V37" s="13">
        <f t="shared" ref="V37:V44" si="22">S37/U37</f>
        <v>6.2820512820512819</v>
      </c>
      <c r="W37" s="8">
        <v>430000</v>
      </c>
      <c r="X37" s="8">
        <f t="shared" ref="X37:X44" si="23">(T37+W37)/2</f>
        <v>705000</v>
      </c>
      <c r="Y37" s="13">
        <f t="shared" ref="Y37:Y44" si="24">X37*R37/U37</f>
        <v>4.5192307692307692</v>
      </c>
    </row>
    <row r="38" spans="2:25" ht="18" customHeight="1" x14ac:dyDescent="0.45">
      <c r="B38" s="12" t="s">
        <v>500</v>
      </c>
      <c r="C38" s="12" t="s">
        <v>501</v>
      </c>
      <c r="D38" s="12" t="s">
        <v>504</v>
      </c>
      <c r="E38" s="12">
        <v>10416</v>
      </c>
      <c r="F38" s="12">
        <v>640</v>
      </c>
      <c r="G38" s="12">
        <v>3</v>
      </c>
      <c r="I38" s="8">
        <v>25</v>
      </c>
      <c r="J38" s="8">
        <v>24000000</v>
      </c>
      <c r="K38" s="8">
        <f t="shared" si="16"/>
        <v>960000</v>
      </c>
      <c r="L38" s="8">
        <f t="shared" si="17"/>
        <v>8736000</v>
      </c>
      <c r="M38" s="13">
        <f t="shared" si="18"/>
        <v>2.7472527472527473</v>
      </c>
      <c r="N38" s="8">
        <v>800000</v>
      </c>
      <c r="O38" s="8">
        <f t="shared" ref="O37:O43" si="25">(K38+N38)/2</f>
        <v>880000</v>
      </c>
      <c r="P38" s="13">
        <f t="shared" si="19"/>
        <v>2.5183150183150182</v>
      </c>
      <c r="R38">
        <v>0</v>
      </c>
      <c r="S38" s="8">
        <v>0</v>
      </c>
      <c r="T38" s="8" t="e">
        <f t="shared" si="20"/>
        <v>#DIV/0!</v>
      </c>
      <c r="U38" s="8">
        <f t="shared" si="21"/>
        <v>1248000</v>
      </c>
      <c r="V38" s="13">
        <f t="shared" si="22"/>
        <v>0</v>
      </c>
      <c r="W38" s="8">
        <v>0</v>
      </c>
      <c r="X38" s="8" t="e">
        <f t="shared" si="23"/>
        <v>#DIV/0!</v>
      </c>
      <c r="Y38" s="13" t="e">
        <f t="shared" si="24"/>
        <v>#DIV/0!</v>
      </c>
    </row>
    <row r="39" spans="2:25" ht="18" customHeight="1" x14ac:dyDescent="0.45">
      <c r="F39">
        <f>SUM(F36:F38)</f>
        <v>1040</v>
      </c>
      <c r="J39" s="8"/>
      <c r="K39" s="8"/>
      <c r="L39" s="8"/>
      <c r="M39" s="13"/>
      <c r="N39" s="8"/>
      <c r="O39" s="8"/>
      <c r="P39" s="13"/>
      <c r="R39">
        <v>2</v>
      </c>
      <c r="S39" s="8">
        <v>7310000</v>
      </c>
      <c r="T39" s="8">
        <f t="shared" si="20"/>
        <v>3655000</v>
      </c>
      <c r="U39" s="8">
        <f t="shared" si="21"/>
        <v>2028000</v>
      </c>
      <c r="V39" s="13">
        <f t="shared" si="22"/>
        <v>3.6045364891518736</v>
      </c>
      <c r="W39" s="8">
        <v>640000</v>
      </c>
      <c r="X39" s="8">
        <f t="shared" si="23"/>
        <v>2147500</v>
      </c>
      <c r="Y39" s="13">
        <f t="shared" si="24"/>
        <v>2.1178500986193294</v>
      </c>
    </row>
    <row r="40" spans="2:25" ht="18" customHeight="1" x14ac:dyDescent="0.45">
      <c r="J40" s="8"/>
      <c r="K40" s="8"/>
      <c r="L40" s="8"/>
      <c r="M40" s="13"/>
      <c r="N40" s="8"/>
      <c r="O40" s="8"/>
      <c r="P40" s="13"/>
      <c r="R40">
        <v>2</v>
      </c>
      <c r="S40" s="8">
        <v>8060000</v>
      </c>
      <c r="T40" s="8">
        <f t="shared" si="20"/>
        <v>4030000</v>
      </c>
      <c r="U40" s="8">
        <f t="shared" si="21"/>
        <v>0</v>
      </c>
      <c r="V40" s="13" t="e">
        <f t="shared" si="22"/>
        <v>#DIV/0!</v>
      </c>
      <c r="W40" s="8">
        <v>200000</v>
      </c>
      <c r="X40" s="8">
        <f t="shared" si="23"/>
        <v>2115000</v>
      </c>
      <c r="Y40" s="13" t="e">
        <f t="shared" si="24"/>
        <v>#DIV/0!</v>
      </c>
    </row>
    <row r="41" spans="2:25" ht="18" customHeight="1" x14ac:dyDescent="0.45">
      <c r="B41" s="5"/>
      <c r="C41" s="5"/>
      <c r="D41" s="5"/>
      <c r="J41" s="8"/>
      <c r="K41" s="8"/>
      <c r="L41" s="8"/>
      <c r="M41" s="13"/>
      <c r="N41" s="8"/>
      <c r="O41" s="8"/>
      <c r="P41" s="13"/>
      <c r="R41">
        <v>0</v>
      </c>
      <c r="S41" s="8">
        <v>0</v>
      </c>
      <c r="T41" s="8" t="e">
        <f>S41/R42</f>
        <v>#DIV/0!</v>
      </c>
      <c r="U41" s="8">
        <f t="shared" si="21"/>
        <v>0</v>
      </c>
      <c r="V41" s="13" t="e">
        <f t="shared" si="22"/>
        <v>#DIV/0!</v>
      </c>
      <c r="W41" s="8">
        <v>0</v>
      </c>
      <c r="X41" s="8" t="e">
        <f t="shared" si="23"/>
        <v>#DIV/0!</v>
      </c>
      <c r="Y41" s="13" t="e">
        <f>X41*R42/U41</f>
        <v>#DIV/0!</v>
      </c>
    </row>
    <row r="42" spans="2:25" ht="18" customHeight="1" x14ac:dyDescent="0.45">
      <c r="B42" s="5"/>
      <c r="C42" s="5"/>
      <c r="D42" s="5"/>
      <c r="J42" s="8"/>
      <c r="K42" s="8"/>
      <c r="L42" s="8"/>
      <c r="M42" s="13"/>
      <c r="N42" s="8"/>
      <c r="O42" s="8"/>
      <c r="P42" s="13"/>
      <c r="R42">
        <v>0</v>
      </c>
      <c r="S42" s="8">
        <v>0</v>
      </c>
      <c r="T42" s="8" t="e">
        <f>S42/R43</f>
        <v>#DIV/0!</v>
      </c>
      <c r="U42" s="8">
        <f t="shared" si="21"/>
        <v>0</v>
      </c>
      <c r="V42" s="13" t="e">
        <f t="shared" si="22"/>
        <v>#DIV/0!</v>
      </c>
      <c r="W42" s="8">
        <v>0</v>
      </c>
      <c r="X42" s="8" t="e">
        <f t="shared" si="23"/>
        <v>#DIV/0!</v>
      </c>
      <c r="Y42" s="13" t="e">
        <f>X42*#REF!/U42</f>
        <v>#DIV/0!</v>
      </c>
    </row>
    <row r="43" spans="2:25" ht="18" customHeight="1" x14ac:dyDescent="0.45">
      <c r="B43" s="5"/>
      <c r="C43" s="5"/>
      <c r="D43" s="5"/>
      <c r="J43" s="8"/>
      <c r="K43" s="8"/>
      <c r="L43" s="8"/>
      <c r="M43" s="13"/>
      <c r="N43" s="8"/>
      <c r="O43" s="8"/>
      <c r="P43" s="13"/>
      <c r="R43">
        <v>0</v>
      </c>
      <c r="S43" s="8">
        <v>0</v>
      </c>
      <c r="T43" s="8" t="e">
        <f t="shared" si="20"/>
        <v>#DIV/0!</v>
      </c>
      <c r="U43" s="8">
        <f t="shared" si="21"/>
        <v>0</v>
      </c>
      <c r="V43" s="13" t="e">
        <f t="shared" si="22"/>
        <v>#DIV/0!</v>
      </c>
      <c r="W43" s="8">
        <v>0</v>
      </c>
      <c r="X43" s="8" t="e">
        <f t="shared" si="23"/>
        <v>#DIV/0!</v>
      </c>
      <c r="Y43" s="13" t="e">
        <f t="shared" si="24"/>
        <v>#DIV/0!</v>
      </c>
    </row>
    <row r="44" spans="2:25" ht="18" customHeight="1" x14ac:dyDescent="0.45">
      <c r="F44">
        <f>SUM(F36:F43)</f>
        <v>2080</v>
      </c>
      <c r="G44">
        <f>SUM(F36:F39)</f>
        <v>2080</v>
      </c>
      <c r="I44" s="8">
        <f>SUM(I36:I43)</f>
        <v>55</v>
      </c>
      <c r="J44" s="8">
        <f>SUM(J36:J43)</f>
        <v>29570000</v>
      </c>
      <c r="K44" s="8">
        <f t="shared" ref="K44" si="26">J44/I44</f>
        <v>537636.36363636365</v>
      </c>
      <c r="L44" s="8">
        <f t="shared" ref="L44" si="27">F44*50*273</f>
        <v>28392000</v>
      </c>
      <c r="M44" s="13">
        <f t="shared" ref="M44" si="28">J44/L44</f>
        <v>1.0414905607213301</v>
      </c>
      <c r="N44" s="8">
        <v>1000000</v>
      </c>
      <c r="O44" s="8">
        <f t="shared" ref="O44" si="29">(K44+N44)/2</f>
        <v>768818.18181818188</v>
      </c>
      <c r="P44" s="13">
        <f t="shared" ref="P44" si="30">O44*I44/L44</f>
        <v>1.4893279797125951</v>
      </c>
      <c r="R44">
        <f>SUM(R36:R43)</f>
        <v>7</v>
      </c>
      <c r="S44">
        <f>SUM(S36:S43)</f>
        <v>18310000</v>
      </c>
      <c r="T44" s="8">
        <f t="shared" si="20"/>
        <v>2615714.2857142859</v>
      </c>
      <c r="U44" s="8">
        <f t="shared" si="21"/>
        <v>4056000</v>
      </c>
      <c r="V44" s="13">
        <f t="shared" si="22"/>
        <v>4.5142998027613412</v>
      </c>
      <c r="W44">
        <f>SUM(W36:W43)</f>
        <v>1270000</v>
      </c>
      <c r="X44" s="8">
        <f t="shared" si="23"/>
        <v>1942857.142857143</v>
      </c>
      <c r="Y44" s="13">
        <f t="shared" si="24"/>
        <v>3.3530571992110452</v>
      </c>
    </row>
    <row r="45" spans="2:25" ht="18" customHeight="1" x14ac:dyDescent="0.45"/>
    <row r="46" spans="2:25" ht="18" customHeight="1" x14ac:dyDescent="0.45">
      <c r="B46" s="12"/>
      <c r="C46" s="12"/>
      <c r="D46" s="12"/>
    </row>
    <row r="47" spans="2:25" ht="18" customHeight="1" x14ac:dyDescent="0.45">
      <c r="B47" s="12"/>
      <c r="C47" s="12"/>
      <c r="D47" s="12"/>
    </row>
    <row r="48" spans="2:25" ht="18" customHeight="1" x14ac:dyDescent="0.45">
      <c r="B48" s="12"/>
      <c r="C48" s="12"/>
      <c r="D48" s="12"/>
      <c r="K48" s="8"/>
      <c r="L48" s="8"/>
      <c r="M48" s="13"/>
      <c r="O48" s="8"/>
      <c r="P48" s="13"/>
    </row>
    <row r="49" spans="3:9" ht="18" customHeight="1" x14ac:dyDescent="0.45"/>
    <row r="50" spans="3:9" ht="18" customHeight="1" x14ac:dyDescent="0.45"/>
    <row r="51" spans="3:9" ht="18" customHeight="1" x14ac:dyDescent="0.45"/>
    <row r="52" spans="3:9" ht="18" customHeight="1" x14ac:dyDescent="0.45">
      <c r="F52">
        <v>1</v>
      </c>
    </row>
    <row r="53" spans="3:9" ht="18" customHeight="1" x14ac:dyDescent="0.45">
      <c r="F53">
        <v>23</v>
      </c>
    </row>
    <row r="54" spans="3:9" ht="18" customHeight="1" x14ac:dyDescent="0.45">
      <c r="F54">
        <v>456</v>
      </c>
    </row>
    <row r="55" spans="3:9" ht="18" customHeight="1" x14ac:dyDescent="0.45">
      <c r="E55" s="12" t="s">
        <v>491</v>
      </c>
      <c r="F55">
        <v>7891011</v>
      </c>
    </row>
    <row r="56" spans="3:9" ht="18" customHeight="1" x14ac:dyDescent="0.45"/>
    <row r="57" spans="3:9" ht="18" customHeight="1" x14ac:dyDescent="0.45">
      <c r="C57" s="12" t="s">
        <v>492</v>
      </c>
      <c r="D57" s="12" t="s">
        <v>493</v>
      </c>
      <c r="E57" s="12" t="s">
        <v>491</v>
      </c>
      <c r="G57">
        <v>42015</v>
      </c>
      <c r="H57">
        <v>1200</v>
      </c>
    </row>
    <row r="58" spans="3:9" ht="18" customHeight="1" x14ac:dyDescent="0.45">
      <c r="C58" s="12" t="s">
        <v>493</v>
      </c>
      <c r="D58" s="12" t="s">
        <v>492</v>
      </c>
      <c r="E58" s="12" t="s">
        <v>491</v>
      </c>
      <c r="G58">
        <v>42015</v>
      </c>
      <c r="H58">
        <v>1200</v>
      </c>
    </row>
    <row r="59" spans="3:9" ht="18" customHeight="1" x14ac:dyDescent="0.45">
      <c r="H59">
        <f>SUM(H57:H58)</f>
        <v>2400</v>
      </c>
    </row>
    <row r="60" spans="3:9" ht="18" customHeight="1" x14ac:dyDescent="0.45">
      <c r="C60" s="16" t="s">
        <v>494</v>
      </c>
      <c r="D60" s="16" t="s">
        <v>494</v>
      </c>
      <c r="E60" s="16" t="s">
        <v>497</v>
      </c>
      <c r="F60" s="17"/>
      <c r="G60" s="17">
        <v>665</v>
      </c>
      <c r="H60" s="17">
        <v>180</v>
      </c>
      <c r="I60" s="18"/>
    </row>
    <row r="61" spans="3:9" ht="18" customHeight="1" x14ac:dyDescent="0.45">
      <c r="C61" s="16" t="s">
        <v>495</v>
      </c>
      <c r="D61" s="16" t="s">
        <v>494</v>
      </c>
      <c r="E61" s="16" t="s">
        <v>497</v>
      </c>
      <c r="F61" s="17"/>
      <c r="G61" s="17">
        <v>665</v>
      </c>
      <c r="H61" s="17">
        <v>180</v>
      </c>
      <c r="I61" s="18"/>
    </row>
    <row r="62" spans="3:9" ht="18" customHeight="1" x14ac:dyDescent="0.45">
      <c r="C62" s="16" t="s">
        <v>494</v>
      </c>
      <c r="D62" s="16" t="s">
        <v>496</v>
      </c>
      <c r="E62" s="16" t="s">
        <v>497</v>
      </c>
      <c r="F62" s="17"/>
      <c r="G62" s="17">
        <v>665</v>
      </c>
      <c r="H62" s="17">
        <v>180</v>
      </c>
      <c r="I62" s="18"/>
    </row>
    <row r="63" spans="3:9" ht="18" customHeight="1" x14ac:dyDescent="0.45">
      <c r="C63" s="16" t="s">
        <v>494</v>
      </c>
      <c r="D63" s="16" t="s">
        <v>495</v>
      </c>
      <c r="E63" s="16" t="s">
        <v>497</v>
      </c>
      <c r="F63" s="17"/>
      <c r="G63" s="17">
        <v>665</v>
      </c>
      <c r="H63" s="17">
        <v>180</v>
      </c>
      <c r="I63" s="18"/>
    </row>
    <row r="64" spans="3:9" ht="18" customHeight="1" x14ac:dyDescent="0.45">
      <c r="C64" s="17"/>
      <c r="D64" s="17"/>
      <c r="E64" s="17"/>
      <c r="F64" s="17"/>
      <c r="G64" s="17"/>
      <c r="H64" s="17">
        <v>36000</v>
      </c>
      <c r="I64" s="18">
        <v>80000000</v>
      </c>
    </row>
    <row r="65" spans="3:9" ht="18" customHeight="1" x14ac:dyDescent="0.45">
      <c r="C65" s="17"/>
      <c r="D65" s="17"/>
      <c r="E65" s="17"/>
      <c r="F65" s="17"/>
      <c r="G65" s="17"/>
      <c r="H65" s="17">
        <v>300</v>
      </c>
      <c r="I65" s="18">
        <f>H64*H65</f>
        <v>10800000</v>
      </c>
    </row>
    <row r="66" spans="3:9" ht="18" customHeight="1" x14ac:dyDescent="0.45"/>
    <row r="67" spans="3:9" ht="18" customHeight="1" x14ac:dyDescent="0.45"/>
    <row r="68" spans="3:9" ht="18" customHeight="1" x14ac:dyDescent="0.45"/>
    <row r="69" spans="3:9" ht="18" customHeight="1" x14ac:dyDescent="0.45"/>
    <row r="70" spans="3:9" ht="18" customHeight="1" x14ac:dyDescent="0.45"/>
    <row r="71" spans="3:9" ht="18" customHeight="1" x14ac:dyDescent="0.45"/>
    <row r="72" spans="3:9" ht="18" customHeight="1" x14ac:dyDescent="0.45"/>
    <row r="73" spans="3:9" ht="18" customHeight="1" x14ac:dyDescent="0.45"/>
    <row r="74" spans="3:9" ht="18" customHeight="1" x14ac:dyDescent="0.45"/>
    <row r="75" spans="3:9" ht="18" customHeight="1" x14ac:dyDescent="0.45"/>
    <row r="76" spans="3:9" ht="18" customHeight="1" x14ac:dyDescent="0.45"/>
    <row r="77" spans="3:9" ht="18" customHeight="1" x14ac:dyDescent="0.45"/>
    <row r="78" spans="3:9" ht="18" customHeight="1" x14ac:dyDescent="0.45"/>
    <row r="79" spans="3:9" ht="18" customHeight="1" x14ac:dyDescent="0.45"/>
    <row r="80" spans="3:9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  <row r="1001" ht="18" customHeight="1" x14ac:dyDescent="0.45"/>
  </sheetData>
  <phoneticPr fontId="3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20252026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中田 雄一</dc:creator>
  <cp:lastModifiedBy>雄一 中田</cp:lastModifiedBy>
  <dcterms:created xsi:type="dcterms:W3CDTF">2026-02-18T05:51:51Z</dcterms:created>
  <dcterms:modified xsi:type="dcterms:W3CDTF">2026-02-22T12:30:05Z</dcterms:modified>
</cp:coreProperties>
</file>