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募集馬一覧" sheetId="1" state="visible" r:id="rId1"/>
    <sheet xmlns:r="http://schemas.openxmlformats.org/officeDocument/2006/relationships" name="検討基準" sheetId="2" state="visible" r:id="rId2"/>
    <sheet xmlns:r="http://schemas.openxmlformats.org/officeDocument/2006/relationships" name="0904母馬優先" sheetId="3" state="visible" r:id="rId3"/>
    <sheet xmlns:r="http://schemas.openxmlformats.org/officeDocument/2006/relationships" name="0904一般" sheetId="4" state="visible" r:id="rId4"/>
    <sheet xmlns:r="http://schemas.openxmlformats.org/officeDocument/2006/relationships" name="過去募集馬成績" sheetId="5" state="visible" r:id="rId5"/>
  </sheets>
  <definedNames>
    <definedName name="_xlnm._FilterDatabase" localSheetId="4" hidden="1">'過去募集馬成績'!$A$1:$T$277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m\月d\日"/>
    <numFmt numFmtId="165" formatCode="0.0%"/>
  </numFmts>
  <fonts count="1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ＭＳ ゴシック"/>
      <charset val="1"/>
      <family val="0"/>
      <b val="1"/>
      <sz val="11"/>
    </font>
    <font>
      <name val="WenQuanYi Zen Hei"/>
      <charset val="1"/>
      <family val="2"/>
      <b val="1"/>
      <sz val="11"/>
    </font>
    <font>
      <name val="WenQuanYi Zen Hei"/>
      <family val="2"/>
      <b val="1"/>
      <sz val="11"/>
    </font>
    <font>
      <name val="ＭＳ ゴシック"/>
      <charset val="1"/>
      <family val="0"/>
      <sz val="11"/>
    </font>
    <font>
      <name val="WenQuanYi Zen Hei"/>
      <family val="2"/>
      <sz val="11"/>
    </font>
    <font>
      <name val="WenQuanYi Zen Hei"/>
      <charset val="1"/>
      <family val="2"/>
      <sz val="11"/>
    </font>
    <font>
      <name val="WenQuanYi Zen Hei"/>
      <family val="2"/>
      <sz val="10"/>
    </font>
    <font>
      <name val="Arial"/>
      <family val="2"/>
      <sz val="10"/>
    </font>
    <font>
      <name val="ＭＳ ゴシック"/>
      <b val="1"/>
      <color rgb="00FFFFFF"/>
      <sz val="11"/>
    </font>
    <font>
      <name val="ＭＳ ゴシック"/>
      <sz val="11"/>
    </font>
    <font>
      <name val="ＭＳ ゴシック"/>
      <b val="1"/>
      <color rgb="001F3864"/>
      <sz val="11"/>
    </font>
  </fonts>
  <fills count="4">
    <fill>
      <patternFill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6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164" fontId="7" fillId="0" borderId="0" applyAlignment="1" pivotButton="0" quotePrefix="0" xfId="0">
      <alignment horizontal="general" vertical="bottom"/>
    </xf>
    <xf numFmtId="3" fontId="7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9" fontId="7" fillId="0" borderId="0" applyAlignment="1" pivotButton="0" quotePrefix="0" xfId="0">
      <alignment horizontal="general" vertical="bottom"/>
    </xf>
    <xf numFmtId="165" fontId="7" fillId="0" borderId="0" applyAlignment="1" pivotButton="0" quotePrefix="0" xfId="0">
      <alignment horizontal="general" vertical="bottom"/>
    </xf>
    <xf numFmtId="10" fontId="7" fillId="0" borderId="0" applyAlignment="1" pivotButton="0" quotePrefix="0" xfId="0">
      <alignment horizontal="general" vertical="bottom"/>
    </xf>
    <xf numFmtId="2" fontId="7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164" fontId="7" fillId="0" borderId="0" applyAlignment="1" pivotButton="0" quotePrefix="0" xfId="0">
      <alignment horizontal="general" vertical="bottom"/>
    </xf>
    <xf numFmtId="3" fontId="7" fillId="0" borderId="0" applyAlignment="1" pivotButton="0" quotePrefix="0" xfId="0">
      <alignment horizontal="general" vertical="bottom"/>
    </xf>
    <xf numFmtId="0" fontId="13" fillId="2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14" fillId="0" borderId="0" pivotButton="0" quotePrefix="0" xfId="0"/>
    <xf numFmtId="0" fontId="13" fillId="0" borderId="0" pivotButton="0" quotePrefix="0" xfId="0"/>
    <xf numFmtId="9" fontId="7" fillId="0" borderId="0" applyAlignment="1" pivotButton="0" quotePrefix="0" xfId="0">
      <alignment horizontal="general" vertical="bottom"/>
    </xf>
    <xf numFmtId="165" fontId="7" fillId="0" borderId="0" applyAlignment="1" pivotButton="0" quotePrefix="0" xfId="0">
      <alignment horizontal="general" vertical="bottom"/>
    </xf>
    <xf numFmtId="10" fontId="7" fillId="0" borderId="0" applyAlignment="1" pivotButton="0" quotePrefix="0" xfId="0">
      <alignment horizontal="general" vertical="bottom"/>
    </xf>
    <xf numFmtId="0" fontId="12" fillId="3" borderId="0" applyAlignment="1" pivotButton="0" quotePrefix="0" xfId="0">
      <alignment horizont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Unknown Author</author>
  </authors>
  <commentList>
    <comment ref="L1" authorId="0" shapeId="0">
      <text>
        <t>母年齢と登録産駒数はnetkeibaから自動取得した参考値。重要な馬はカタログで要確認。</t>
      </text>
    </comment>
  </commentList>
</comments>
</file>

<file path=xl/comments/comment2.xml><?xml version="1.0" encoding="utf-8"?>
<comments xmlns="http://schemas.openxmlformats.org/spreadsheetml/2006/main">
  <authors>
    <author>Unknown Author</author>
  </authors>
  <commentList>
    <comment ref="C2" authorId="0" shapeId="0">
      <text>
        <t>中間発表の申込者数(C～F列)を入力すると右側の確率が自動計算されます。
G1は昨年と同じ換算率0.234（今年の値に要更新）。
数式中の200は募集口数400口の馬の母優枠。昨年同様、口数が少ない馬(例:200口募集)は該当行の200を50等に置き換えてください。</t>
      </text>
    </comment>
  </commentList>
</comments>
</file>

<file path=xl/comments/comment3.xml><?xml version="1.0" encoding="utf-8"?>
<comments xmlns="http://schemas.openxmlformats.org/spreadsheetml/2006/main">
  <authors>
    <author>Unknown Author</author>
  </authors>
  <commentList>
    <comment ref="C1" authorId="0" shapeId="0">
      <text>
        <t>中間発表の申込者数(C,D列)を入力すると確率が自動計算されます。
E1は換算率0.234（今年の値に要更新）。
数式中の400は募集口数。昨年同様、口数の異なる馬は該当行の400を調整してください。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X9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15" zeroHeight="0" outlineLevelRow="0"/>
  <cols>
    <col width="3.5" customWidth="1" style="18" min="1" max="2"/>
    <col width="38" customWidth="1" style="18" min="3" max="3"/>
    <col width="27.1" customWidth="1" style="18" min="4" max="4"/>
    <col width="22.6" customWidth="1" style="18" min="5" max="5"/>
    <col width="8.6" customWidth="1" style="18" min="6" max="6"/>
    <col width="10.5" customWidth="1" style="18" min="7" max="8"/>
    <col width="13.9" customWidth="1" style="18" min="9" max="9"/>
    <col width="11.7" customWidth="1" style="18" min="10" max="11"/>
    <col width="8.6" customWidth="1" style="18" min="12" max="12"/>
    <col width="11" customWidth="1" style="18" min="13" max="13"/>
    <col width="13" customWidth="1" style="18" min="14" max="14"/>
    <col width="11.7" customWidth="1" style="18" min="15" max="15"/>
    <col width="7.5" customWidth="1" style="18" min="16" max="16"/>
    <col width="16" customWidth="1" style="18" min="18" max="18"/>
    <col width="9" customWidth="1" style="18" min="19" max="22"/>
    <col width="34" customWidth="1" style="18" min="23" max="23"/>
  </cols>
  <sheetData>
    <row r="1" ht="15" customHeight="1" s="19">
      <c r="A1" s="20" t="inlineStr">
        <is>
          <t>No</t>
        </is>
      </c>
      <c r="B1" s="21" t="inlineStr">
        <is>
          <t>母馬優先</t>
        </is>
      </c>
      <c r="C1" s="21" t="inlineStr">
        <is>
          <t>募集馬名</t>
        </is>
      </c>
      <c r="D1" s="21" t="inlineStr">
        <is>
          <t>父</t>
        </is>
      </c>
      <c r="E1" s="21" t="inlineStr">
        <is>
          <t>母の父</t>
        </is>
      </c>
      <c r="F1" s="21" t="inlineStr">
        <is>
          <t>性別</t>
        </is>
      </c>
      <c r="G1" s="21" t="inlineStr">
        <is>
          <t>毛色</t>
        </is>
      </c>
      <c r="H1" s="21" t="inlineStr">
        <is>
          <t>生年月日</t>
        </is>
      </c>
      <c r="I1" s="21" t="inlineStr">
        <is>
          <t>提供牧場</t>
        </is>
      </c>
      <c r="J1" s="21" t="inlineStr">
        <is>
          <t>総額(万円)</t>
        </is>
      </c>
      <c r="K1" s="21" t="inlineStr">
        <is>
          <t>一口(円)</t>
        </is>
      </c>
      <c r="L1" s="21" t="inlineStr">
        <is>
          <t>母年齢</t>
        </is>
      </c>
      <c r="M1" s="21" t="inlineStr">
        <is>
          <t>産駒数</t>
        </is>
      </c>
      <c r="N1" s="21" t="inlineStr">
        <is>
          <t>母年齢+産駒数</t>
        </is>
      </c>
      <c r="O1" s="21" t="inlineStr">
        <is>
          <t>馬体重(カタログ)</t>
        </is>
      </c>
      <c r="P1" s="22" t="inlineStr">
        <is>
          <t>スコア</t>
        </is>
      </c>
      <c r="Q1" s="21" t="inlineStr">
        <is>
          <t>地区</t>
        </is>
      </c>
      <c r="R1" s="21" t="inlineStr">
        <is>
          <t>予定厩舎</t>
        </is>
      </c>
      <c r="S1" s="21" t="inlineStr">
        <is>
          <t>厩舎相性</t>
        </is>
      </c>
      <c r="T1" s="21" t="inlineStr">
        <is>
          <t>体高</t>
        </is>
      </c>
      <c r="U1" s="21" t="inlineStr">
        <is>
          <t>胸囲</t>
        </is>
      </c>
      <c r="V1" s="21" t="inlineStr">
        <is>
          <t>管囲</t>
        </is>
      </c>
      <c r="W1" s="23" t="inlineStr">
        <is>
          <t>スコア内訳</t>
        </is>
      </c>
      <c r="X1" s="24" t="inlineStr">
        <is>
          <t>※2026/8/1確定一覧(94頭)ベース。地方6頭は100口募集(一口=総額/100)。</t>
        </is>
      </c>
    </row>
    <row r="2" ht="15" customHeight="1" s="19">
      <c r="A2" s="24" t="n">
        <v>1</v>
      </c>
      <c r="B2" s="24" t="n"/>
      <c r="C2" s="25" t="inlineStr">
        <is>
          <t>ブランノワールの25</t>
        </is>
      </c>
      <c r="D2" s="25" t="inlineStr">
        <is>
          <t>イクイノックス</t>
        </is>
      </c>
      <c r="E2" s="25" t="inlineStr">
        <is>
          <t>ロードカナロア</t>
        </is>
      </c>
      <c r="F2" s="25" t="inlineStr">
        <is>
          <t>牡</t>
        </is>
      </c>
      <c r="G2" s="25" t="inlineStr">
        <is>
          <t>鹿</t>
        </is>
      </c>
      <c r="H2" s="26" t="n">
        <v>45777</v>
      </c>
      <c r="I2" s="25" t="inlineStr">
        <is>
          <t>ノーザンF</t>
        </is>
      </c>
      <c r="J2" s="27" t="n">
        <v>8000</v>
      </c>
      <c r="K2" s="27" t="n">
        <v>200000</v>
      </c>
      <c r="L2" s="24" t="n">
        <v>9</v>
      </c>
      <c r="M2" s="24" t="n">
        <v>3</v>
      </c>
      <c r="N2" s="24">
        <f>IF(OR(L2="",M2=""),"",L2+M2)</f>
        <v/>
      </c>
      <c r="O2" s="24" t="n">
        <v>420</v>
      </c>
      <c r="P2" s="28" t="n">
        <v>2</v>
      </c>
      <c r="Q2" s="25" t="inlineStr">
        <is>
          <t>関東</t>
        </is>
      </c>
      <c r="R2" s="25" t="inlineStr">
        <is>
          <t>武井亮</t>
        </is>
      </c>
      <c r="S2" s="29" t="inlineStr"/>
      <c r="T2" s="24" t="n">
        <v>147</v>
      </c>
      <c r="U2" s="24" t="n">
        <v>169</v>
      </c>
      <c r="V2" s="24" t="n">
        <v>20.6</v>
      </c>
      <c r="W2" s="29" t="inlineStr">
        <is>
          <t>牡・420kg+</t>
        </is>
      </c>
      <c r="X2" s="25" t="inlineStr">
        <is>
          <t>※母年齢=2025年産駒誕生時の年齢、産駒数=募集馬が何番仔か(netkeiba産駒一覧ベース)。ビディデュークのみ産駒数不明(米国輸入・netkeiba未登録)。</t>
        </is>
      </c>
    </row>
    <row r="3" ht="15" customHeight="1" s="19">
      <c r="A3" s="24" t="n">
        <v>2</v>
      </c>
      <c r="B3" s="24" t="n"/>
      <c r="C3" s="25" t="inlineStr">
        <is>
          <t>カリプソIIの25</t>
        </is>
      </c>
      <c r="D3" s="25" t="inlineStr">
        <is>
          <t>イクイノックス</t>
        </is>
      </c>
      <c r="E3" s="24" t="inlineStr">
        <is>
          <t>Brody's Cause</t>
        </is>
      </c>
      <c r="F3" s="25" t="inlineStr">
        <is>
          <t>メス</t>
        </is>
      </c>
      <c r="G3" s="25" t="inlineStr">
        <is>
          <t>鹿</t>
        </is>
      </c>
      <c r="H3" s="26" t="n">
        <v>45740</v>
      </c>
      <c r="I3" s="25" t="inlineStr">
        <is>
          <t>ノーザンF</t>
        </is>
      </c>
      <c r="J3" s="27" t="n">
        <v>7000</v>
      </c>
      <c r="K3" s="27" t="n">
        <v>175000</v>
      </c>
      <c r="L3" s="24" t="n">
        <v>7</v>
      </c>
      <c r="M3" s="24" t="n">
        <v>1</v>
      </c>
      <c r="N3" s="24">
        <f>IF(OR(L3="",M3=""),"",L3+M3)</f>
        <v/>
      </c>
      <c r="O3" s="24" t="n">
        <v>468</v>
      </c>
      <c r="P3" s="28" t="n">
        <v>1</v>
      </c>
      <c r="Q3" s="25" t="inlineStr">
        <is>
          <t>関東</t>
        </is>
      </c>
      <c r="R3" s="25" t="inlineStr">
        <is>
          <t>宮田敬介</t>
        </is>
      </c>
      <c r="S3" s="29" t="inlineStr"/>
      <c r="T3" s="24" t="n">
        <v>158</v>
      </c>
      <c r="U3" s="24" t="n">
        <v>181</v>
      </c>
      <c r="V3" s="24" t="n">
        <v>19.5</v>
      </c>
      <c r="W3" s="29" t="inlineStr">
        <is>
          <t>420kg+</t>
        </is>
      </c>
      <c r="X3" s="24" t="inlineStr">
        <is>
          <t>※O列(馬体重)はカタログ発表後に入力すると基準スコアに自動加点。スコアは「検討基準」シート参照(6点満点)。</t>
        </is>
      </c>
    </row>
    <row r="4" ht="15" customHeight="1" s="19">
      <c r="A4" s="24" t="n">
        <v>3</v>
      </c>
      <c r="B4" s="24" t="n"/>
      <c r="C4" s="25" t="inlineStr">
        <is>
          <t>ジェイウォークの25</t>
        </is>
      </c>
      <c r="D4" s="25" t="inlineStr">
        <is>
          <t>イクイノックス</t>
        </is>
      </c>
      <c r="E4" s="24" t="inlineStr">
        <is>
          <t>Cross Traffic</t>
        </is>
      </c>
      <c r="F4" s="25" t="inlineStr">
        <is>
          <t>メス</t>
        </is>
      </c>
      <c r="G4" s="25" t="inlineStr">
        <is>
          <t>芦</t>
        </is>
      </c>
      <c r="H4" s="26" t="n">
        <v>45744</v>
      </c>
      <c r="I4" s="25" t="inlineStr">
        <is>
          <t>ノーザンF</t>
        </is>
      </c>
      <c r="J4" s="27" t="n">
        <v>8000</v>
      </c>
      <c r="K4" s="27" t="n">
        <v>200000</v>
      </c>
      <c r="L4" s="24" t="n">
        <v>9</v>
      </c>
      <c r="M4" s="24" t="n">
        <v>3</v>
      </c>
      <c r="N4" s="24">
        <f>IF(OR(L4="",M4=""),"",L4+M4)</f>
        <v/>
      </c>
      <c r="O4" s="24" t="n">
        <v>424</v>
      </c>
      <c r="P4" s="28" t="n">
        <v>1</v>
      </c>
      <c r="Q4" s="25" t="inlineStr">
        <is>
          <t>関東</t>
        </is>
      </c>
      <c r="R4" s="25" t="inlineStr">
        <is>
          <t>木村哲也</t>
        </is>
      </c>
      <c r="S4" s="29" t="inlineStr">
        <is>
          <t>○</t>
        </is>
      </c>
      <c r="T4" s="24" t="n">
        <v>157.5</v>
      </c>
      <c r="U4" s="24" t="n">
        <v>175</v>
      </c>
      <c r="V4" s="24" t="n">
        <v>20.1</v>
      </c>
      <c r="W4" s="29" t="inlineStr">
        <is>
          <t>420kg+</t>
        </is>
      </c>
      <c r="X4" s="25" t="inlineStr">
        <is>
          <t>※厩舎相性=2020-22年実績より(◎=回収・勝ち上がりとも優秀/○=堅実/△=注意)。詳細は「検討基準」シート。地方馬の厩舎は移籍前提のため評価対象外。</t>
        </is>
      </c>
    </row>
    <row r="5" ht="15" customHeight="1" s="19">
      <c r="A5" s="24" t="n">
        <v>4</v>
      </c>
      <c r="B5" s="24" t="inlineStr">
        <is>
          <t>●</t>
        </is>
      </c>
      <c r="C5" s="25" t="inlineStr">
        <is>
          <t>ミリッサの25</t>
        </is>
      </c>
      <c r="D5" s="25" t="inlineStr">
        <is>
          <t>エフフォーリア</t>
        </is>
      </c>
      <c r="E5" s="25" t="inlineStr">
        <is>
          <t>ダイワメジャー</t>
        </is>
      </c>
      <c r="F5" s="25" t="inlineStr">
        <is>
          <t>牡</t>
        </is>
      </c>
      <c r="G5" s="25" t="inlineStr">
        <is>
          <t>鹿</t>
        </is>
      </c>
      <c r="H5" s="26" t="n">
        <v>45702</v>
      </c>
      <c r="I5" s="25" t="inlineStr">
        <is>
          <t>ノーザンF</t>
        </is>
      </c>
      <c r="J5" s="27" t="n">
        <v>7000</v>
      </c>
      <c r="K5" s="27" t="n">
        <v>175000</v>
      </c>
      <c r="L5" s="24" t="n">
        <v>11</v>
      </c>
      <c r="M5" s="24" t="n">
        <v>4</v>
      </c>
      <c r="N5" s="24">
        <f>IF(OR(L5="",M5=""),"",L5+M5)</f>
        <v/>
      </c>
      <c r="O5" s="24" t="n">
        <v>430</v>
      </c>
      <c r="P5" s="28" t="n">
        <v>2</v>
      </c>
      <c r="Q5" s="25" t="inlineStr">
        <is>
          <t>関東</t>
        </is>
      </c>
      <c r="R5" s="25" t="inlineStr">
        <is>
          <t>木村哲也</t>
        </is>
      </c>
      <c r="S5" s="29" t="inlineStr">
        <is>
          <t>○</t>
        </is>
      </c>
      <c r="T5" s="24" t="n">
        <v>155.5</v>
      </c>
      <c r="U5" s="24" t="n">
        <v>171</v>
      </c>
      <c r="V5" s="24" t="n">
        <v>20.3</v>
      </c>
      <c r="W5" s="29" t="inlineStr">
        <is>
          <t>牡・420kg+</t>
        </is>
      </c>
    </row>
    <row r="6" ht="15" customHeight="1" s="19">
      <c r="A6" s="24" t="n">
        <v>5</v>
      </c>
      <c r="B6" s="24" t="inlineStr">
        <is>
          <t>●</t>
        </is>
      </c>
      <c r="C6" s="25" t="inlineStr">
        <is>
          <t>エールデュレーヴの25</t>
        </is>
      </c>
      <c r="D6" s="25" t="inlineStr">
        <is>
          <t>エフフォーリア</t>
        </is>
      </c>
      <c r="E6" s="25" t="inlineStr">
        <is>
          <t>ディープインパクト</t>
        </is>
      </c>
      <c r="F6" s="25" t="inlineStr">
        <is>
          <t>牡</t>
        </is>
      </c>
      <c r="G6" s="25" t="inlineStr">
        <is>
          <t>鹿</t>
        </is>
      </c>
      <c r="H6" s="26" t="n">
        <v>45759</v>
      </c>
      <c r="I6" s="25" t="inlineStr">
        <is>
          <t>ノーザンF</t>
        </is>
      </c>
      <c r="J6" s="27" t="n">
        <v>5000</v>
      </c>
      <c r="K6" s="27" t="n">
        <v>125000</v>
      </c>
      <c r="L6" s="24" t="n">
        <v>12</v>
      </c>
      <c r="M6" s="24" t="n">
        <v>6</v>
      </c>
      <c r="N6" s="24">
        <f>IF(OR(L6="",M6=""),"",L6+M6)</f>
        <v/>
      </c>
      <c r="O6" s="24" t="n">
        <v>430</v>
      </c>
      <c r="P6" s="28" t="n">
        <v>2</v>
      </c>
      <c r="Q6" s="25" t="inlineStr">
        <is>
          <t>関東</t>
        </is>
      </c>
      <c r="R6" s="25" t="inlineStr">
        <is>
          <t>鹿戸雄一</t>
        </is>
      </c>
      <c r="S6" s="29" t="inlineStr"/>
      <c r="T6" s="24" t="n">
        <v>158</v>
      </c>
      <c r="U6" s="24" t="n">
        <v>175.5</v>
      </c>
      <c r="V6" s="24" t="n">
        <v>21</v>
      </c>
      <c r="W6" s="29" t="inlineStr">
        <is>
          <t>牡・420kg+</t>
        </is>
      </c>
    </row>
    <row r="7" ht="15" customHeight="1" s="19">
      <c r="A7" s="24" t="n">
        <v>6</v>
      </c>
      <c r="B7" s="24" t="inlineStr">
        <is>
          <t>●</t>
        </is>
      </c>
      <c r="C7" s="25" t="inlineStr">
        <is>
          <t>フィリアプーラの25</t>
        </is>
      </c>
      <c r="D7" s="25" t="inlineStr">
        <is>
          <t>エフフォーリア</t>
        </is>
      </c>
      <c r="E7" s="25" t="inlineStr">
        <is>
          <t>ハービンジャー</t>
        </is>
      </c>
      <c r="F7" s="25" t="inlineStr">
        <is>
          <t>メス</t>
        </is>
      </c>
      <c r="G7" s="25" t="inlineStr">
        <is>
          <t>栗</t>
        </is>
      </c>
      <c r="H7" s="26" t="n">
        <v>45686</v>
      </c>
      <c r="I7" s="25" t="inlineStr">
        <is>
          <t>ノーザンF</t>
        </is>
      </c>
      <c r="J7" s="27" t="n">
        <v>6000</v>
      </c>
      <c r="K7" s="27" t="n">
        <v>150000</v>
      </c>
      <c r="L7" s="24" t="n">
        <v>9</v>
      </c>
      <c r="M7" s="24" t="n">
        <v>3</v>
      </c>
      <c r="N7" s="24">
        <f>IF(OR(L7="",M7=""),"",L7+M7)</f>
        <v/>
      </c>
      <c r="O7" s="24" t="n">
        <v>440</v>
      </c>
      <c r="P7" s="28" t="n">
        <v>1</v>
      </c>
      <c r="Q7" s="25" t="inlineStr">
        <is>
          <t>関東</t>
        </is>
      </c>
      <c r="R7" s="25" t="inlineStr">
        <is>
          <t>森一誠</t>
        </is>
      </c>
      <c r="S7" s="29" t="inlineStr">
        <is>
          <t>○</t>
        </is>
      </c>
      <c r="T7" s="24" t="n">
        <v>153</v>
      </c>
      <c r="U7" s="24" t="n">
        <v>180</v>
      </c>
      <c r="V7" s="24" t="n">
        <v>19.7</v>
      </c>
      <c r="W7" s="29" t="inlineStr">
        <is>
          <t>420kg+</t>
        </is>
      </c>
    </row>
    <row r="8" ht="15" customHeight="1" s="19">
      <c r="A8" s="24" t="n">
        <v>7</v>
      </c>
      <c r="B8" s="24" t="n"/>
      <c r="C8" s="25" t="inlineStr">
        <is>
          <t>トレジャーステイトの25</t>
        </is>
      </c>
      <c r="D8" s="25" t="inlineStr">
        <is>
          <t>キタサンブラック</t>
        </is>
      </c>
      <c r="E8" s="24" t="inlineStr">
        <is>
          <t>Oasis Dream</t>
        </is>
      </c>
      <c r="F8" s="25" t="inlineStr">
        <is>
          <t>牡</t>
        </is>
      </c>
      <c r="G8" s="25" t="inlineStr">
        <is>
          <t>黒鹿</t>
        </is>
      </c>
      <c r="H8" s="26" t="n">
        <v>45698</v>
      </c>
      <c r="I8" s="25" t="inlineStr">
        <is>
          <t>ノーザンF</t>
        </is>
      </c>
      <c r="J8" s="27" t="n">
        <v>10000</v>
      </c>
      <c r="K8" s="27" t="n">
        <v>250000</v>
      </c>
      <c r="L8" s="24" t="n">
        <v>13</v>
      </c>
      <c r="M8" s="24" t="n">
        <v>7</v>
      </c>
      <c r="N8" s="24">
        <f>IF(OR(L8="",M8=""),"",L8+M8)</f>
        <v/>
      </c>
      <c r="O8" s="24" t="n">
        <v>454</v>
      </c>
      <c r="P8" s="28" t="n">
        <v>2</v>
      </c>
      <c r="Q8" s="25" t="inlineStr">
        <is>
          <t>関東</t>
        </is>
      </c>
      <c r="R8" s="25" t="inlineStr">
        <is>
          <t>宮田敬介</t>
        </is>
      </c>
      <c r="S8" s="29" t="inlineStr"/>
      <c r="T8" s="24" t="n">
        <v>155</v>
      </c>
      <c r="U8" s="24" t="n">
        <v>179</v>
      </c>
      <c r="V8" s="24" t="n">
        <v>19.5</v>
      </c>
      <c r="W8" s="29" t="inlineStr">
        <is>
          <t>牡・420kg+</t>
        </is>
      </c>
    </row>
    <row r="9" ht="15" customHeight="1" s="19">
      <c r="A9" s="24" t="n">
        <v>8</v>
      </c>
      <c r="B9" s="24" t="inlineStr">
        <is>
          <t>●</t>
        </is>
      </c>
      <c r="C9" s="25" t="inlineStr">
        <is>
          <t>スルーセブンシーズの25</t>
        </is>
      </c>
      <c r="D9" s="25" t="inlineStr">
        <is>
          <t>キタサンブラック</t>
        </is>
      </c>
      <c r="E9" s="25" t="inlineStr">
        <is>
          <t>ドリームジャーニー</t>
        </is>
      </c>
      <c r="F9" s="25" t="inlineStr">
        <is>
          <t>メス</t>
        </is>
      </c>
      <c r="G9" s="25" t="inlineStr">
        <is>
          <t>鹿</t>
        </is>
      </c>
      <c r="H9" s="26" t="n">
        <v>45663</v>
      </c>
      <c r="I9" s="25" t="inlineStr">
        <is>
          <t>ノーザンF</t>
        </is>
      </c>
      <c r="J9" s="27" t="n">
        <v>7000</v>
      </c>
      <c r="K9" s="27" t="n">
        <v>175000</v>
      </c>
      <c r="L9" s="24" t="n">
        <v>7</v>
      </c>
      <c r="M9" s="24" t="n">
        <v>1</v>
      </c>
      <c r="N9" s="24">
        <f>IF(OR(L9="",M9=""),"",L9+M9)</f>
        <v/>
      </c>
      <c r="O9" s="24" t="n">
        <v>473</v>
      </c>
      <c r="P9" s="28" t="n">
        <v>1</v>
      </c>
      <c r="Q9" s="25" t="inlineStr">
        <is>
          <t>関東</t>
        </is>
      </c>
      <c r="R9" s="25" t="inlineStr">
        <is>
          <t>尾関知人</t>
        </is>
      </c>
      <c r="S9" s="29" t="inlineStr">
        <is>
          <t>◎</t>
        </is>
      </c>
      <c r="T9" s="24" t="n">
        <v>155.5</v>
      </c>
      <c r="U9" s="24" t="n">
        <v>177.5</v>
      </c>
      <c r="V9" s="24" t="n">
        <v>20.1</v>
      </c>
      <c r="W9" s="29" t="inlineStr">
        <is>
          <t>420kg+</t>
        </is>
      </c>
    </row>
    <row r="10" ht="15" customHeight="1" s="19">
      <c r="A10" s="24" t="n">
        <v>9</v>
      </c>
      <c r="B10" s="24" t="n"/>
      <c r="C10" s="25" t="inlineStr">
        <is>
          <t>ライラックスアンドレースの25</t>
        </is>
      </c>
      <c r="D10" s="25" t="inlineStr">
        <is>
          <t>キズナ</t>
        </is>
      </c>
      <c r="E10" s="24" t="inlineStr">
        <is>
          <t>Flower Alley</t>
        </is>
      </c>
      <c r="F10" s="25" t="inlineStr">
        <is>
          <t>牡</t>
        </is>
      </c>
      <c r="G10" s="25" t="inlineStr">
        <is>
          <t>黒鹿</t>
        </is>
      </c>
      <c r="H10" s="26" t="n">
        <v>45720</v>
      </c>
      <c r="I10" s="25" t="inlineStr">
        <is>
          <t>ノーザンF*</t>
        </is>
      </c>
      <c r="J10" s="27" t="n">
        <v>6800</v>
      </c>
      <c r="K10" s="27" t="n">
        <v>170000</v>
      </c>
      <c r="L10" s="24" t="n">
        <v>17</v>
      </c>
      <c r="M10" s="24" t="n">
        <v>10</v>
      </c>
      <c r="N10" s="24">
        <f>IF(OR(L10="",M10=""),"",L10+M10)</f>
        <v/>
      </c>
      <c r="O10" s="24" t="n">
        <v>415</v>
      </c>
      <c r="P10" s="28" t="n">
        <v>1</v>
      </c>
      <c r="Q10" s="25" t="inlineStr">
        <is>
          <t>関東</t>
        </is>
      </c>
      <c r="R10" s="25" t="inlineStr">
        <is>
          <t>加藤士津八</t>
        </is>
      </c>
      <c r="S10" s="29" t="inlineStr"/>
      <c r="T10" s="24" t="n">
        <v>155</v>
      </c>
      <c r="U10" s="24" t="n">
        <v>173</v>
      </c>
      <c r="V10" s="24" t="n">
        <v>20.2</v>
      </c>
      <c r="W10" s="29" t="inlineStr">
        <is>
          <t>牡</t>
        </is>
      </c>
    </row>
    <row r="11" ht="15" customHeight="1" s="19">
      <c r="A11" s="24" t="n">
        <v>10</v>
      </c>
      <c r="B11" s="24" t="inlineStr">
        <is>
          <t>●</t>
        </is>
      </c>
      <c r="C11" s="25" t="inlineStr">
        <is>
          <t>アールブリュットの25</t>
        </is>
      </c>
      <c r="D11" s="25" t="inlineStr">
        <is>
          <t>キズナ</t>
        </is>
      </c>
      <c r="E11" s="25" t="inlineStr">
        <is>
          <t>マクフィ</t>
        </is>
      </c>
      <c r="F11" s="25" t="inlineStr">
        <is>
          <t>牡</t>
        </is>
      </c>
      <c r="G11" s="25" t="inlineStr">
        <is>
          <t>鹿</t>
        </is>
      </c>
      <c r="H11" s="26" t="n">
        <v>45781</v>
      </c>
      <c r="I11" s="25" t="inlineStr">
        <is>
          <t>ノーザンF</t>
        </is>
      </c>
      <c r="J11" s="27" t="n">
        <v>12000</v>
      </c>
      <c r="K11" s="27" t="n">
        <v>300000</v>
      </c>
      <c r="L11" s="24" t="n">
        <v>13</v>
      </c>
      <c r="M11" s="24" t="n">
        <v>5</v>
      </c>
      <c r="N11" s="24">
        <f>IF(OR(L11="",M11=""),"",L11+M11)</f>
        <v/>
      </c>
      <c r="O11" s="24" t="n">
        <v>444</v>
      </c>
      <c r="P11" s="28" t="n">
        <v>2</v>
      </c>
      <c r="Q11" s="25" t="inlineStr">
        <is>
          <t>関東</t>
        </is>
      </c>
      <c r="R11" s="25" t="inlineStr">
        <is>
          <t>田中博康</t>
        </is>
      </c>
      <c r="S11" s="29" t="inlineStr"/>
      <c r="T11" s="24" t="n">
        <v>158</v>
      </c>
      <c r="U11" s="24" t="n">
        <v>173.5</v>
      </c>
      <c r="V11" s="24" t="n">
        <v>21.3</v>
      </c>
      <c r="W11" s="29" t="inlineStr">
        <is>
          <t>牡・420kg+</t>
        </is>
      </c>
    </row>
    <row r="12" ht="15" customHeight="1" s="19">
      <c r="A12" s="24" t="n">
        <v>11</v>
      </c>
      <c r="B12" s="24" t="inlineStr">
        <is>
          <t>●</t>
        </is>
      </c>
      <c r="C12" s="25" t="inlineStr">
        <is>
          <t>シーリアの25</t>
        </is>
      </c>
      <c r="D12" s="25" t="inlineStr">
        <is>
          <t>キズナ</t>
        </is>
      </c>
      <c r="E12" s="25" t="inlineStr">
        <is>
          <t>キングカメハメハ</t>
        </is>
      </c>
      <c r="F12" s="25" t="inlineStr">
        <is>
          <t>牡</t>
        </is>
      </c>
      <c r="G12" s="25" t="inlineStr">
        <is>
          <t>黒鹿</t>
        </is>
      </c>
      <c r="H12" s="26" t="n">
        <v>45787</v>
      </c>
      <c r="I12" s="25" t="inlineStr">
        <is>
          <t>ノーザンF</t>
        </is>
      </c>
      <c r="J12" s="27" t="n">
        <v>8000</v>
      </c>
      <c r="K12" s="27" t="n">
        <v>200000</v>
      </c>
      <c r="L12" s="24" t="n">
        <v>10</v>
      </c>
      <c r="M12" s="24" t="n">
        <v>4</v>
      </c>
      <c r="N12" s="24">
        <f>IF(OR(L12="",M12=""),"",L12+M12)</f>
        <v/>
      </c>
      <c r="O12" s="24" t="n">
        <v>402</v>
      </c>
      <c r="P12" s="28" t="n">
        <v>1</v>
      </c>
      <c r="Q12" s="25" t="inlineStr">
        <is>
          <t>関東</t>
        </is>
      </c>
      <c r="R12" s="25" t="inlineStr">
        <is>
          <t>辻哲英</t>
        </is>
      </c>
      <c r="S12" s="29" t="inlineStr"/>
      <c r="T12" s="24" t="n">
        <v>156</v>
      </c>
      <c r="U12" s="24" t="n">
        <v>169.5</v>
      </c>
      <c r="V12" s="24" t="n">
        <v>20.5</v>
      </c>
      <c r="W12" s="29" t="inlineStr">
        <is>
          <t>牡</t>
        </is>
      </c>
    </row>
    <row r="13" ht="15" customHeight="1" s="19">
      <c r="A13" s="24" t="n">
        <v>12</v>
      </c>
      <c r="B13" s="24" t="n"/>
      <c r="C13" s="25" t="inlineStr">
        <is>
          <t>プレシャライジングの25</t>
        </is>
      </c>
      <c r="D13" s="25" t="inlineStr">
        <is>
          <t>キズナ</t>
        </is>
      </c>
      <c r="E13" s="24" t="inlineStr">
        <is>
          <t>Henrythenavigator</t>
        </is>
      </c>
      <c r="F13" s="25" t="inlineStr">
        <is>
          <t>メス</t>
        </is>
      </c>
      <c r="G13" s="25" t="inlineStr">
        <is>
          <t>黒鹿</t>
        </is>
      </c>
      <c r="H13" s="26" t="n">
        <v>45708</v>
      </c>
      <c r="I13" s="25" t="inlineStr">
        <is>
          <t>ノーザンF</t>
        </is>
      </c>
      <c r="J13" s="27" t="n">
        <v>5000</v>
      </c>
      <c r="K13" s="27" t="n">
        <v>125000</v>
      </c>
      <c r="L13" s="24" t="n">
        <v>15</v>
      </c>
      <c r="M13" s="24" t="n">
        <v>7</v>
      </c>
      <c r="N13" s="24">
        <f>IF(OR(L13="",M13=""),"",L13+M13)</f>
        <v/>
      </c>
      <c r="O13" s="24" t="n">
        <v>452</v>
      </c>
      <c r="P13" s="28" t="n">
        <v>1</v>
      </c>
      <c r="Q13" s="25" t="inlineStr">
        <is>
          <t>関東</t>
        </is>
      </c>
      <c r="R13" s="25" t="inlineStr">
        <is>
          <t>鹿戸雄一</t>
        </is>
      </c>
      <c r="S13" s="29" t="inlineStr"/>
      <c r="T13" s="24" t="n">
        <v>154.5</v>
      </c>
      <c r="U13" s="24" t="n">
        <v>178</v>
      </c>
      <c r="V13" s="24" t="n">
        <v>19.2</v>
      </c>
      <c r="W13" s="29" t="inlineStr">
        <is>
          <t>420kg+</t>
        </is>
      </c>
    </row>
    <row r="14" ht="15" customHeight="1" s="19">
      <c r="A14" s="24" t="n">
        <v>13</v>
      </c>
      <c r="B14" s="24" t="inlineStr">
        <is>
          <t>●</t>
        </is>
      </c>
      <c r="C14" s="25" t="inlineStr">
        <is>
          <t>ハープスターの25</t>
        </is>
      </c>
      <c r="D14" s="25" t="inlineStr">
        <is>
          <t>エピファネイア</t>
        </is>
      </c>
      <c r="E14" s="25" t="inlineStr">
        <is>
          <t>ディープインパクト</t>
        </is>
      </c>
      <c r="F14" s="25" t="inlineStr">
        <is>
          <t>牡</t>
        </is>
      </c>
      <c r="G14" s="25" t="inlineStr">
        <is>
          <t>栗</t>
        </is>
      </c>
      <c r="H14" s="26" t="n">
        <v>45742</v>
      </c>
      <c r="I14" s="25" t="inlineStr">
        <is>
          <t>ノーザンF</t>
        </is>
      </c>
      <c r="J14" s="27" t="n">
        <v>8000</v>
      </c>
      <c r="K14" s="27" t="n">
        <v>200000</v>
      </c>
      <c r="L14" s="24" t="n">
        <v>14</v>
      </c>
      <c r="M14" s="24" t="n">
        <v>4</v>
      </c>
      <c r="N14" s="24">
        <f>IF(OR(L14="",M14=""),"",L14+M14)</f>
        <v/>
      </c>
      <c r="O14" s="24" t="n">
        <v>443</v>
      </c>
      <c r="P14" s="28" t="n">
        <v>2</v>
      </c>
      <c r="Q14" s="25" t="inlineStr">
        <is>
          <t>関東</t>
        </is>
      </c>
      <c r="R14" s="25" t="inlineStr">
        <is>
          <t>田中博康</t>
        </is>
      </c>
      <c r="S14" s="29" t="inlineStr"/>
      <c r="T14" s="24" t="n">
        <v>158</v>
      </c>
      <c r="U14" s="24" t="n">
        <v>179</v>
      </c>
      <c r="V14" s="24" t="n">
        <v>20.7</v>
      </c>
      <c r="W14" s="29" t="inlineStr">
        <is>
          <t>牡・420kg+</t>
        </is>
      </c>
    </row>
    <row r="15" ht="15" customHeight="1" s="19">
      <c r="A15" s="24" t="n">
        <v>14</v>
      </c>
      <c r="B15" s="24" t="inlineStr">
        <is>
          <t>●</t>
        </is>
      </c>
      <c r="C15" s="25" t="inlineStr">
        <is>
          <t>コルコバードの25</t>
        </is>
      </c>
      <c r="D15" s="25" t="inlineStr">
        <is>
          <t>エピファネイア</t>
        </is>
      </c>
      <c r="E15" s="25" t="inlineStr">
        <is>
          <t>ステイゴールド</t>
        </is>
      </c>
      <c r="F15" s="25" t="inlineStr">
        <is>
          <t>メス</t>
        </is>
      </c>
      <c r="G15" s="25" t="inlineStr">
        <is>
          <t>鹿</t>
        </is>
      </c>
      <c r="H15" s="26" t="n">
        <v>45673</v>
      </c>
      <c r="I15" s="25" t="inlineStr">
        <is>
          <t>ノーザンF</t>
        </is>
      </c>
      <c r="J15" s="27" t="n">
        <v>7000</v>
      </c>
      <c r="K15" s="27" t="n">
        <v>175000</v>
      </c>
      <c r="L15" s="24" t="n">
        <v>12</v>
      </c>
      <c r="M15" s="24" t="n">
        <v>5</v>
      </c>
      <c r="N15" s="24">
        <f>IF(OR(L15="",M15=""),"",L15+M15)</f>
        <v/>
      </c>
      <c r="O15" s="24" t="n">
        <v>479</v>
      </c>
      <c r="P15" s="28" t="n">
        <v>1</v>
      </c>
      <c r="Q15" s="25" t="inlineStr">
        <is>
          <t>関東</t>
        </is>
      </c>
      <c r="R15" s="25" t="inlineStr">
        <is>
          <t>木村哲也</t>
        </is>
      </c>
      <c r="S15" s="29" t="inlineStr">
        <is>
          <t>○</t>
        </is>
      </c>
      <c r="T15" s="24" t="n">
        <v>155</v>
      </c>
      <c r="U15" s="24" t="n">
        <v>184.5</v>
      </c>
      <c r="V15" s="24" t="n">
        <v>19.6</v>
      </c>
      <c r="W15" s="29" t="inlineStr">
        <is>
          <t>420kg+</t>
        </is>
      </c>
    </row>
    <row r="16" ht="15" customHeight="1" s="19">
      <c r="A16" s="24" t="n">
        <v>15</v>
      </c>
      <c r="B16" s="24" t="inlineStr">
        <is>
          <t>●</t>
        </is>
      </c>
      <c r="C16" s="25" t="inlineStr">
        <is>
          <t>ファーストフォリオの25</t>
        </is>
      </c>
      <c r="D16" s="25" t="inlineStr">
        <is>
          <t>コントレイル</t>
        </is>
      </c>
      <c r="E16" s="25" t="inlineStr">
        <is>
          <t>キングカメハメハ</t>
        </is>
      </c>
      <c r="F16" s="25" t="inlineStr">
        <is>
          <t>牡</t>
        </is>
      </c>
      <c r="G16" s="25" t="inlineStr">
        <is>
          <t>青鹿</t>
        </is>
      </c>
      <c r="H16" s="26" t="n">
        <v>45732</v>
      </c>
      <c r="I16" s="25" t="inlineStr">
        <is>
          <t>ノーザンF</t>
        </is>
      </c>
      <c r="J16" s="27" t="n">
        <v>8000</v>
      </c>
      <c r="K16" s="27" t="n">
        <v>200000</v>
      </c>
      <c r="L16" s="24" t="n">
        <v>8</v>
      </c>
      <c r="M16" s="24" t="n">
        <v>2</v>
      </c>
      <c r="N16" s="24">
        <f>IF(OR(L16="",M16=""),"",L16+M16)</f>
        <v/>
      </c>
      <c r="O16" s="24" t="n">
        <v>415</v>
      </c>
      <c r="P16" s="28" t="n">
        <v>1</v>
      </c>
      <c r="Q16" s="25" t="inlineStr">
        <is>
          <t>関東</t>
        </is>
      </c>
      <c r="R16" s="25" t="inlineStr">
        <is>
          <t>堀宣行</t>
        </is>
      </c>
      <c r="S16" s="29" t="inlineStr"/>
      <c r="T16" s="24" t="n">
        <v>153.5</v>
      </c>
      <c r="U16" s="24" t="n">
        <v>169.5</v>
      </c>
      <c r="V16" s="24" t="n">
        <v>20.5</v>
      </c>
      <c r="W16" s="29" t="inlineStr">
        <is>
          <t>牡</t>
        </is>
      </c>
    </row>
    <row r="17" ht="15" customHeight="1" s="19">
      <c r="A17" s="24" t="n">
        <v>16</v>
      </c>
      <c r="B17" s="24" t="n"/>
      <c r="C17" s="25" t="inlineStr">
        <is>
          <t>アトミカオロの25</t>
        </is>
      </c>
      <c r="D17" s="25" t="inlineStr">
        <is>
          <t>コントレイル</t>
        </is>
      </c>
      <c r="E17" s="24" t="inlineStr">
        <is>
          <t>Orpen</t>
        </is>
      </c>
      <c r="F17" s="25" t="inlineStr">
        <is>
          <t>メス</t>
        </is>
      </c>
      <c r="G17" s="25" t="inlineStr">
        <is>
          <t>青鹿</t>
        </is>
      </c>
      <c r="H17" s="26" t="n">
        <v>45716</v>
      </c>
      <c r="I17" s="25" t="inlineStr">
        <is>
          <t>ノーザンF</t>
        </is>
      </c>
      <c r="J17" s="27" t="n">
        <v>5000</v>
      </c>
      <c r="K17" s="27" t="n">
        <v>125000</v>
      </c>
      <c r="L17" s="24" t="n">
        <v>11</v>
      </c>
      <c r="M17" s="24" t="n">
        <v>6</v>
      </c>
      <c r="N17" s="24">
        <f>IF(OR(L17="",M17=""),"",L17+M17)</f>
        <v/>
      </c>
      <c r="O17" s="24" t="n">
        <v>467</v>
      </c>
      <c r="P17" s="28" t="n">
        <v>1</v>
      </c>
      <c r="Q17" s="25" t="inlineStr">
        <is>
          <t>関東</t>
        </is>
      </c>
      <c r="R17" s="25" t="inlineStr">
        <is>
          <t>上原佑紀</t>
        </is>
      </c>
      <c r="S17" s="29" t="inlineStr"/>
      <c r="T17" s="24" t="n">
        <v>154</v>
      </c>
      <c r="U17" s="24" t="n">
        <v>178.5</v>
      </c>
      <c r="V17" s="24" t="n">
        <v>19.6</v>
      </c>
      <c r="W17" s="29" t="inlineStr">
        <is>
          <t>420kg+</t>
        </is>
      </c>
    </row>
    <row r="18" ht="15" customHeight="1" s="19">
      <c r="A18" s="24" t="n">
        <v>17</v>
      </c>
      <c r="B18" s="24" t="n"/>
      <c r="C18" s="25" t="inlineStr">
        <is>
          <t>レッドティーの25</t>
        </is>
      </c>
      <c r="D18" s="25" t="inlineStr">
        <is>
          <t>スワーヴリチャード</t>
        </is>
      </c>
      <c r="E18" s="24" t="inlineStr">
        <is>
          <t>Sakhee</t>
        </is>
      </c>
      <c r="F18" s="25" t="inlineStr">
        <is>
          <t>牡</t>
        </is>
      </c>
      <c r="G18" s="25" t="inlineStr">
        <is>
          <t>栗</t>
        </is>
      </c>
      <c r="H18" s="26" t="n">
        <v>45735</v>
      </c>
      <c r="I18" s="25" t="inlineStr">
        <is>
          <t>ノーザンF</t>
        </is>
      </c>
      <c r="J18" s="27" t="n">
        <v>6000</v>
      </c>
      <c r="K18" s="27" t="n">
        <v>150000</v>
      </c>
      <c r="L18" s="24" t="n">
        <v>12</v>
      </c>
      <c r="M18" s="24" t="n">
        <v>5</v>
      </c>
      <c r="N18" s="24">
        <f>IF(OR(L18="",M18=""),"",L18+M18)</f>
        <v/>
      </c>
      <c r="O18" s="24" t="n">
        <v>438</v>
      </c>
      <c r="P18" s="28" t="n">
        <v>2</v>
      </c>
      <c r="Q18" s="25" t="inlineStr">
        <is>
          <t>関東</t>
        </is>
      </c>
      <c r="R18" s="25" t="inlineStr">
        <is>
          <t>斎藤誠</t>
        </is>
      </c>
      <c r="S18" s="29" t="inlineStr"/>
      <c r="T18" s="24" t="n">
        <v>155</v>
      </c>
      <c r="U18" s="24" t="n">
        <v>173.5</v>
      </c>
      <c r="V18" s="24" t="n">
        <v>21</v>
      </c>
      <c r="W18" s="29" t="inlineStr">
        <is>
          <t>牡・420kg+</t>
        </is>
      </c>
    </row>
    <row r="19" ht="15" customHeight="1" s="19">
      <c r="A19" s="24" t="n">
        <v>18</v>
      </c>
      <c r="B19" s="24" t="inlineStr">
        <is>
          <t>●</t>
        </is>
      </c>
      <c r="C19" s="25" t="inlineStr">
        <is>
          <t>エルカスティージョの25</t>
        </is>
      </c>
      <c r="D19" s="25" t="inlineStr">
        <is>
          <t>スワーヴリチャード</t>
        </is>
      </c>
      <c r="E19" s="25" t="inlineStr">
        <is>
          <t>ロードカナロア</t>
        </is>
      </c>
      <c r="F19" s="25" t="inlineStr">
        <is>
          <t>メス</t>
        </is>
      </c>
      <c r="G19" s="25" t="inlineStr">
        <is>
          <t>栗</t>
        </is>
      </c>
      <c r="H19" s="26" t="n">
        <v>45659</v>
      </c>
      <c r="I19" s="25" t="inlineStr">
        <is>
          <t>ノーザンF</t>
        </is>
      </c>
      <c r="J19" s="27" t="n">
        <v>4600</v>
      </c>
      <c r="K19" s="27" t="n">
        <v>115000</v>
      </c>
      <c r="L19" s="24" t="n">
        <v>7</v>
      </c>
      <c r="M19" s="24" t="n">
        <v>2</v>
      </c>
      <c r="N19" s="24">
        <f>IF(OR(L19="",M19=""),"",L19+M19)</f>
        <v/>
      </c>
      <c r="O19" s="24" t="n">
        <v>471</v>
      </c>
      <c r="P19" s="28" t="n">
        <v>1</v>
      </c>
      <c r="Q19" s="25" t="inlineStr">
        <is>
          <t>関東</t>
        </is>
      </c>
      <c r="R19" s="25" t="inlineStr">
        <is>
          <t>加藤征弘</t>
        </is>
      </c>
      <c r="S19" s="29" t="inlineStr">
        <is>
          <t>○</t>
        </is>
      </c>
      <c r="T19" s="24" t="n">
        <v>155</v>
      </c>
      <c r="U19" s="24" t="n">
        <v>180</v>
      </c>
      <c r="V19" s="24" t="n">
        <v>21</v>
      </c>
      <c r="W19" s="29" t="inlineStr">
        <is>
          <t>420kg+</t>
        </is>
      </c>
    </row>
    <row r="20" ht="15" customHeight="1" s="19">
      <c r="A20" s="24" t="n">
        <v>19</v>
      </c>
      <c r="B20" s="24" t="inlineStr">
        <is>
          <t>●</t>
        </is>
      </c>
      <c r="C20" s="25" t="inlineStr">
        <is>
          <t>プルメリアスターの25</t>
        </is>
      </c>
      <c r="D20" s="25" t="inlineStr">
        <is>
          <t>ロードカナロア</t>
        </is>
      </c>
      <c r="E20" s="25" t="inlineStr">
        <is>
          <t>ゼンノロブロイ</t>
        </is>
      </c>
      <c r="F20" s="25" t="inlineStr">
        <is>
          <t>牡</t>
        </is>
      </c>
      <c r="G20" s="25" t="inlineStr">
        <is>
          <t>鹿</t>
        </is>
      </c>
      <c r="H20" s="26" t="n">
        <v>45739</v>
      </c>
      <c r="I20" s="25" t="inlineStr">
        <is>
          <t>ノーザンF</t>
        </is>
      </c>
      <c r="J20" s="27" t="n">
        <v>6000</v>
      </c>
      <c r="K20" s="27" t="n">
        <v>150000</v>
      </c>
      <c r="L20" s="24" t="n">
        <v>13</v>
      </c>
      <c r="M20" s="24" t="n">
        <v>7</v>
      </c>
      <c r="N20" s="24">
        <f>IF(OR(L20="",M20=""),"",L20+M20)</f>
        <v/>
      </c>
      <c r="O20" s="24" t="n">
        <v>436</v>
      </c>
      <c r="P20" s="28" t="n">
        <v>2</v>
      </c>
      <c r="Q20" s="25" t="inlineStr">
        <is>
          <t>関東</t>
        </is>
      </c>
      <c r="R20" s="25" t="inlineStr">
        <is>
          <t>千葉直人</t>
        </is>
      </c>
      <c r="S20" s="29" t="inlineStr"/>
      <c r="T20" s="24" t="n">
        <v>152</v>
      </c>
      <c r="U20" s="24" t="n">
        <v>172.5</v>
      </c>
      <c r="V20" s="24" t="n">
        <v>20</v>
      </c>
      <c r="W20" s="29" t="inlineStr">
        <is>
          <t>牡・420kg+</t>
        </is>
      </c>
    </row>
    <row r="21" ht="15" customHeight="1" s="19">
      <c r="A21" s="24" t="n">
        <v>20</v>
      </c>
      <c r="B21" s="24" t="n"/>
      <c r="C21" s="25" t="inlineStr">
        <is>
          <t>マハーバーラタの25</t>
        </is>
      </c>
      <c r="D21" s="25" t="inlineStr">
        <is>
          <t>ロードカナロア</t>
        </is>
      </c>
      <c r="E21" s="25" t="inlineStr">
        <is>
          <t>ディープインパクト</t>
        </is>
      </c>
      <c r="F21" s="25" t="inlineStr">
        <is>
          <t>メス</t>
        </is>
      </c>
      <c r="G21" s="25" t="inlineStr">
        <is>
          <t>鹿</t>
        </is>
      </c>
      <c r="H21" s="26" t="n">
        <v>45745</v>
      </c>
      <c r="I21" s="25" t="inlineStr">
        <is>
          <t>ノーザンF</t>
        </is>
      </c>
      <c r="J21" s="27" t="n">
        <v>4000</v>
      </c>
      <c r="K21" s="27" t="n">
        <v>100000</v>
      </c>
      <c r="L21" s="24" t="n">
        <v>17</v>
      </c>
      <c r="M21" s="24" t="n">
        <v>10</v>
      </c>
      <c r="N21" s="24">
        <f>IF(OR(L21="",M21=""),"",L21+M21)</f>
        <v/>
      </c>
      <c r="O21" s="24" t="n">
        <v>423</v>
      </c>
      <c r="P21" s="28" t="n">
        <v>1</v>
      </c>
      <c r="Q21" s="25" t="inlineStr">
        <is>
          <t>関東</t>
        </is>
      </c>
      <c r="R21" s="25" t="inlineStr">
        <is>
          <t>青木孝文</t>
        </is>
      </c>
      <c r="S21" s="29" t="inlineStr"/>
      <c r="T21" s="24" t="n">
        <v>151</v>
      </c>
      <c r="U21" s="24" t="n">
        <v>174.5</v>
      </c>
      <c r="V21" s="24" t="n">
        <v>19</v>
      </c>
      <c r="W21" s="29" t="inlineStr">
        <is>
          <t>420kg+</t>
        </is>
      </c>
    </row>
    <row r="22" ht="15" customHeight="1" s="19">
      <c r="A22" s="24" t="n">
        <v>21</v>
      </c>
      <c r="B22" s="24" t="n"/>
      <c r="C22" s="25" t="inlineStr">
        <is>
          <t>アーデルハイトの25</t>
        </is>
      </c>
      <c r="D22" s="25" t="inlineStr">
        <is>
          <t>サートゥルナーリア</t>
        </is>
      </c>
      <c r="E22" s="25" t="inlineStr">
        <is>
          <t>アグネスタキオン</t>
        </is>
      </c>
      <c r="F22" s="25" t="inlineStr">
        <is>
          <t>牡</t>
        </is>
      </c>
      <c r="G22" s="25" t="inlineStr">
        <is>
          <t>青鹿</t>
        </is>
      </c>
      <c r="H22" s="26" t="n">
        <v>45770</v>
      </c>
      <c r="I22" s="25" t="inlineStr">
        <is>
          <t>ノーザンF</t>
        </is>
      </c>
      <c r="J22" s="27" t="n">
        <v>5600</v>
      </c>
      <c r="K22" s="27" t="n">
        <v>140000</v>
      </c>
      <c r="L22" s="24" t="n">
        <v>18</v>
      </c>
      <c r="M22" s="24" t="n">
        <v>11</v>
      </c>
      <c r="N22" s="24">
        <f>IF(OR(L22="",M22=""),"",L22+M22)</f>
        <v/>
      </c>
      <c r="O22" s="24" t="n">
        <v>431</v>
      </c>
      <c r="P22" s="28" t="n">
        <v>2</v>
      </c>
      <c r="Q22" s="25" t="inlineStr">
        <is>
          <t>関東</t>
        </is>
      </c>
      <c r="R22" s="25" t="inlineStr">
        <is>
          <t>高柳瑞樹</t>
        </is>
      </c>
      <c r="S22" s="29" t="inlineStr">
        <is>
          <t>△</t>
        </is>
      </c>
      <c r="T22" s="24" t="n">
        <v>153.5</v>
      </c>
      <c r="U22" s="24" t="n">
        <v>169.5</v>
      </c>
      <c r="V22" s="24" t="n">
        <v>20.3</v>
      </c>
      <c r="W22" s="29" t="inlineStr">
        <is>
          <t>牡・420kg+</t>
        </is>
      </c>
    </row>
    <row r="23" ht="15" customHeight="1" s="19">
      <c r="A23" s="24" t="n">
        <v>22</v>
      </c>
      <c r="B23" s="24" t="inlineStr">
        <is>
          <t>●</t>
        </is>
      </c>
      <c r="C23" s="25" t="inlineStr">
        <is>
          <t>リカビトスの25</t>
        </is>
      </c>
      <c r="D23" s="25" t="inlineStr">
        <is>
          <t>シュネルマイスター</t>
        </is>
      </c>
      <c r="E23" s="25" t="inlineStr">
        <is>
          <t>ディープブリランテ</t>
        </is>
      </c>
      <c r="F23" s="25" t="inlineStr">
        <is>
          <t>牡</t>
        </is>
      </c>
      <c r="G23" s="25" t="inlineStr">
        <is>
          <t>鹿</t>
        </is>
      </c>
      <c r="H23" s="26" t="n">
        <v>45727</v>
      </c>
      <c r="I23" s="25" t="inlineStr">
        <is>
          <t>ノーザンF</t>
        </is>
      </c>
      <c r="J23" s="27" t="n">
        <v>5000</v>
      </c>
      <c r="K23" s="27" t="n">
        <v>125000</v>
      </c>
      <c r="L23" s="24" t="n">
        <v>11</v>
      </c>
      <c r="M23" s="24" t="n">
        <v>5</v>
      </c>
      <c r="N23" s="24">
        <f>IF(OR(L23="",M23=""),"",L23+M23)</f>
        <v/>
      </c>
      <c r="O23" s="24" t="n">
        <v>410</v>
      </c>
      <c r="P23" s="28" t="n">
        <v>1</v>
      </c>
      <c r="Q23" s="25" t="inlineStr">
        <is>
          <t>関東</t>
        </is>
      </c>
      <c r="R23" s="25" t="inlineStr">
        <is>
          <t>奥村武</t>
        </is>
      </c>
      <c r="S23" s="29" t="inlineStr"/>
      <c r="T23" s="24" t="n">
        <v>152</v>
      </c>
      <c r="U23" s="24" t="n">
        <v>174</v>
      </c>
      <c r="V23" s="24" t="n">
        <v>19.7</v>
      </c>
      <c r="W23" s="29" t="inlineStr">
        <is>
          <t>牡</t>
        </is>
      </c>
    </row>
    <row r="24" ht="15" customHeight="1" s="19">
      <c r="A24" s="24" t="n">
        <v>23</v>
      </c>
      <c r="B24" s="24" t="inlineStr">
        <is>
          <t>●</t>
        </is>
      </c>
      <c r="C24" s="25" t="inlineStr">
        <is>
          <t>ゴールドティアの25</t>
        </is>
      </c>
      <c r="D24" s="25" t="inlineStr">
        <is>
          <t>アドマイヤマーズ</t>
        </is>
      </c>
      <c r="E24" s="25" t="inlineStr">
        <is>
          <t>キングカメハメハ</t>
        </is>
      </c>
      <c r="F24" s="25" t="inlineStr">
        <is>
          <t>メス</t>
        </is>
      </c>
      <c r="G24" s="25" t="inlineStr">
        <is>
          <t>栗</t>
        </is>
      </c>
      <c r="H24" s="26" t="n">
        <v>45680</v>
      </c>
      <c r="I24" s="25" t="inlineStr">
        <is>
          <t>ノーザンF</t>
        </is>
      </c>
      <c r="J24" s="27" t="n">
        <v>3200</v>
      </c>
      <c r="K24" s="27" t="n">
        <v>80000</v>
      </c>
      <c r="L24" s="24" t="n">
        <v>8</v>
      </c>
      <c r="M24" s="24" t="n">
        <v>2</v>
      </c>
      <c r="N24" s="24">
        <f>IF(OR(L24="",M24=""),"",L24+M24)</f>
        <v/>
      </c>
      <c r="O24" s="24" t="n">
        <v>442</v>
      </c>
      <c r="P24" s="28" t="n">
        <v>2</v>
      </c>
      <c r="Q24" s="25" t="inlineStr">
        <is>
          <t>関東</t>
        </is>
      </c>
      <c r="R24" s="25" t="inlineStr">
        <is>
          <t>松尾卓哉</t>
        </is>
      </c>
      <c r="S24" s="29" t="inlineStr"/>
      <c r="T24" s="24" t="n">
        <v>156.5</v>
      </c>
      <c r="U24" s="24" t="n">
        <v>181.5</v>
      </c>
      <c r="V24" s="24" t="n">
        <v>19.7</v>
      </c>
      <c r="W24" s="29" t="inlineStr">
        <is>
          <t>価格帯・420kg+</t>
        </is>
      </c>
    </row>
    <row r="25" ht="15" customHeight="1" s="19">
      <c r="A25" s="24" t="n">
        <v>24</v>
      </c>
      <c r="B25" s="24" t="inlineStr">
        <is>
          <t>●</t>
        </is>
      </c>
      <c r="C25" s="25" t="inlineStr">
        <is>
          <t>パドゥヴァルスの25</t>
        </is>
      </c>
      <c r="D25" s="25" t="inlineStr">
        <is>
          <t>アドマイヤマーズ</t>
        </is>
      </c>
      <c r="E25" s="25" t="inlineStr">
        <is>
          <t>エピファネイア</t>
        </is>
      </c>
      <c r="F25" s="25" t="inlineStr">
        <is>
          <t>メス</t>
        </is>
      </c>
      <c r="G25" s="25" t="inlineStr">
        <is>
          <t>鹿</t>
        </is>
      </c>
      <c r="H25" s="26" t="n">
        <v>45686</v>
      </c>
      <c r="I25" s="25" t="inlineStr">
        <is>
          <t>ノーザンF</t>
        </is>
      </c>
      <c r="J25" s="27" t="n">
        <v>3000</v>
      </c>
      <c r="K25" s="27" t="n">
        <v>75000</v>
      </c>
      <c r="L25" s="24" t="n">
        <v>8</v>
      </c>
      <c r="M25" s="24" t="n">
        <v>4</v>
      </c>
      <c r="N25" s="24">
        <f>IF(OR(L25="",M25=""),"",L25+M25)</f>
        <v/>
      </c>
      <c r="O25" s="24" t="n">
        <v>442</v>
      </c>
      <c r="P25" s="28" t="n">
        <v>2</v>
      </c>
      <c r="Q25" s="25" t="inlineStr">
        <is>
          <t>関東</t>
        </is>
      </c>
      <c r="R25" s="25" t="inlineStr">
        <is>
          <t>勢司和浩</t>
        </is>
      </c>
      <c r="S25" s="29" t="inlineStr">
        <is>
          <t>○</t>
        </is>
      </c>
      <c r="T25" s="24" t="n">
        <v>154.5</v>
      </c>
      <c r="U25" s="24" t="n">
        <v>173</v>
      </c>
      <c r="V25" s="24" t="n">
        <v>18.5</v>
      </c>
      <c r="W25" s="29" t="inlineStr">
        <is>
          <t>価格帯・420kg+</t>
        </is>
      </c>
    </row>
    <row r="26" ht="15" customHeight="1" s="19">
      <c r="A26" s="24" t="n">
        <v>25</v>
      </c>
      <c r="B26" s="24" t="inlineStr">
        <is>
          <t>●</t>
        </is>
      </c>
      <c r="C26" s="25" t="inlineStr">
        <is>
          <t>アンフィトリテの25</t>
        </is>
      </c>
      <c r="D26" s="25" t="inlineStr">
        <is>
          <t>モーリス</t>
        </is>
      </c>
      <c r="E26" s="25" t="inlineStr">
        <is>
          <t>ロードカナロア</t>
        </is>
      </c>
      <c r="F26" s="25" t="inlineStr">
        <is>
          <t>牡</t>
        </is>
      </c>
      <c r="G26" s="25" t="inlineStr">
        <is>
          <t>栗</t>
        </is>
      </c>
      <c r="H26" s="26" t="n">
        <v>45749</v>
      </c>
      <c r="I26" s="25" t="inlineStr">
        <is>
          <t>ノーザンF</t>
        </is>
      </c>
      <c r="J26" s="27" t="n">
        <v>5000</v>
      </c>
      <c r="K26" s="27" t="n">
        <v>125000</v>
      </c>
      <c r="L26" s="24" t="n">
        <v>10</v>
      </c>
      <c r="M26" s="24" t="n">
        <v>5</v>
      </c>
      <c r="N26" s="24">
        <f>IF(OR(L26="",M26=""),"",L26+M26)</f>
        <v/>
      </c>
      <c r="O26" s="24" t="n">
        <v>447</v>
      </c>
      <c r="P26" s="28" t="n">
        <v>2</v>
      </c>
      <c r="Q26" s="25" t="inlineStr">
        <is>
          <t>関東</t>
        </is>
      </c>
      <c r="R26" s="25" t="inlineStr">
        <is>
          <t>林徹</t>
        </is>
      </c>
      <c r="S26" s="29" t="inlineStr">
        <is>
          <t>△</t>
        </is>
      </c>
      <c r="T26" s="24" t="n">
        <v>158</v>
      </c>
      <c r="U26" s="24" t="n">
        <v>174.5</v>
      </c>
      <c r="V26" s="24" t="n">
        <v>20.7</v>
      </c>
      <c r="W26" s="29" t="inlineStr">
        <is>
          <t>牡・420kg+</t>
        </is>
      </c>
    </row>
    <row r="27" ht="15" customHeight="1" s="19">
      <c r="A27" s="24" t="n">
        <v>26</v>
      </c>
      <c r="B27" s="24" t="n"/>
      <c r="C27" s="25" t="inlineStr">
        <is>
          <t>ショウナンパンドラの25</t>
        </is>
      </c>
      <c r="D27" s="25" t="inlineStr">
        <is>
          <t>モーリス</t>
        </is>
      </c>
      <c r="E27" s="25" t="inlineStr">
        <is>
          <t>ディープインパクト</t>
        </is>
      </c>
      <c r="F27" s="25" t="inlineStr">
        <is>
          <t>メス</t>
        </is>
      </c>
      <c r="G27" s="25" t="inlineStr">
        <is>
          <t>鹿</t>
        </is>
      </c>
      <c r="H27" s="26" t="n">
        <v>45694</v>
      </c>
      <c r="I27" s="25" t="inlineStr">
        <is>
          <t>ノーザンF</t>
        </is>
      </c>
      <c r="J27" s="27" t="n">
        <v>5000</v>
      </c>
      <c r="K27" s="27" t="n">
        <v>125000</v>
      </c>
      <c r="L27" s="24" t="n">
        <v>14</v>
      </c>
      <c r="M27" s="24" t="n">
        <v>8</v>
      </c>
      <c r="N27" s="24">
        <f>IF(OR(L27="",M27=""),"",L27+M27)</f>
        <v/>
      </c>
      <c r="O27" s="24" t="n">
        <v>426</v>
      </c>
      <c r="P27" s="28" t="n">
        <v>1</v>
      </c>
      <c r="Q27" s="25" t="inlineStr">
        <is>
          <t>関東</t>
        </is>
      </c>
      <c r="R27" s="25" t="inlineStr">
        <is>
          <t>中舘英二</t>
        </is>
      </c>
      <c r="S27" s="29" t="inlineStr"/>
      <c r="T27" s="24" t="n">
        <v>155</v>
      </c>
      <c r="U27" s="24" t="n">
        <v>175</v>
      </c>
      <c r="V27" s="24" t="n">
        <v>18.5</v>
      </c>
      <c r="W27" s="29" t="inlineStr">
        <is>
          <t>420kg+</t>
        </is>
      </c>
    </row>
    <row r="28" ht="15" customHeight="1" s="19">
      <c r="A28" s="24" t="n">
        <v>27</v>
      </c>
      <c r="B28" s="24" t="inlineStr">
        <is>
          <t>●</t>
        </is>
      </c>
      <c r="C28" s="25" t="inlineStr">
        <is>
          <t>ブロンディーヴァの25</t>
        </is>
      </c>
      <c r="D28" s="25" t="inlineStr">
        <is>
          <t>ニューイヤーズデイ</t>
        </is>
      </c>
      <c r="E28" s="25" t="inlineStr">
        <is>
          <t>スマートファルコン</t>
        </is>
      </c>
      <c r="F28" s="25" t="inlineStr">
        <is>
          <t>牡</t>
        </is>
      </c>
      <c r="G28" s="25" t="inlineStr">
        <is>
          <t>栗</t>
        </is>
      </c>
      <c r="H28" s="26" t="n">
        <v>45685</v>
      </c>
      <c r="I28" s="25" t="inlineStr">
        <is>
          <t>ノーザンF</t>
        </is>
      </c>
      <c r="J28" s="27" t="n">
        <v>3200</v>
      </c>
      <c r="K28" s="27" t="n">
        <v>80000</v>
      </c>
      <c r="L28" s="24" t="n">
        <v>8</v>
      </c>
      <c r="M28" s="24" t="n">
        <v>2</v>
      </c>
      <c r="N28" s="24">
        <f>IF(OR(L28="",M28=""),"",L28+M28)</f>
        <v/>
      </c>
      <c r="O28" s="24" t="n">
        <v>474</v>
      </c>
      <c r="P28" s="28" t="n">
        <v>3</v>
      </c>
      <c r="Q28" s="25" t="inlineStr">
        <is>
          <t>関東</t>
        </is>
      </c>
      <c r="R28" s="25" t="inlineStr">
        <is>
          <t>高木登</t>
        </is>
      </c>
      <c r="S28" s="29" t="inlineStr"/>
      <c r="T28" s="24" t="n">
        <v>153</v>
      </c>
      <c r="U28" s="24" t="n">
        <v>182</v>
      </c>
      <c r="V28" s="24" t="n">
        <v>20.8</v>
      </c>
      <c r="W28" s="29" t="inlineStr">
        <is>
          <t>牡・価格帯・420kg+</t>
        </is>
      </c>
    </row>
    <row r="29" ht="15" customHeight="1" s="19">
      <c r="A29" s="24" t="n">
        <v>28</v>
      </c>
      <c r="B29" s="24" t="inlineStr">
        <is>
          <t>●</t>
        </is>
      </c>
      <c r="C29" s="25" t="inlineStr">
        <is>
          <t>グリューヴァインの25</t>
        </is>
      </c>
      <c r="D29" s="25" t="inlineStr">
        <is>
          <t>ニューイヤーズデイ</t>
        </is>
      </c>
      <c r="E29" s="25" t="inlineStr">
        <is>
          <t>ゴールドアリュール</t>
        </is>
      </c>
      <c r="F29" s="25" t="inlineStr">
        <is>
          <t>メス</t>
        </is>
      </c>
      <c r="G29" s="25" t="inlineStr">
        <is>
          <t>鹿</t>
        </is>
      </c>
      <c r="H29" s="26" t="n">
        <v>45724</v>
      </c>
      <c r="I29" s="25" t="inlineStr">
        <is>
          <t>ノーザンF</t>
        </is>
      </c>
      <c r="J29" s="27" t="n">
        <v>3000</v>
      </c>
      <c r="K29" s="27" t="n">
        <v>75000</v>
      </c>
      <c r="L29" s="24" t="n">
        <v>13</v>
      </c>
      <c r="M29" s="24" t="n">
        <v>7</v>
      </c>
      <c r="N29" s="24">
        <f>IF(OR(L29="",M29=""),"",L29+M29)</f>
        <v/>
      </c>
      <c r="O29" s="24" t="n">
        <v>432</v>
      </c>
      <c r="P29" s="28" t="n">
        <v>2</v>
      </c>
      <c r="Q29" s="25" t="inlineStr">
        <is>
          <t>関東</t>
        </is>
      </c>
      <c r="R29" s="25" t="inlineStr">
        <is>
          <t>戸田博文</t>
        </is>
      </c>
      <c r="S29" s="29" t="inlineStr"/>
      <c r="T29" s="24" t="n">
        <v>155.5</v>
      </c>
      <c r="U29" s="24" t="n">
        <v>175</v>
      </c>
      <c r="V29" s="24" t="n">
        <v>19.9</v>
      </c>
      <c r="W29" s="29" t="inlineStr">
        <is>
          <t>価格帯・420kg+</t>
        </is>
      </c>
    </row>
    <row r="30" ht="15" customHeight="1" s="19">
      <c r="A30" s="24" t="n">
        <v>29</v>
      </c>
      <c r="B30" s="24" t="n"/>
      <c r="C30" s="25" t="inlineStr">
        <is>
          <t>モンペルデュの25</t>
        </is>
      </c>
      <c r="D30" s="25" t="inlineStr">
        <is>
          <t>リアルスティール</t>
        </is>
      </c>
      <c r="E30" s="24" t="inlineStr">
        <is>
          <t>Cairo Prince</t>
        </is>
      </c>
      <c r="F30" s="25" t="inlineStr">
        <is>
          <t>牡</t>
        </is>
      </c>
      <c r="G30" s="25" t="inlineStr">
        <is>
          <t>鹿</t>
        </is>
      </c>
      <c r="H30" s="26" t="n">
        <v>45743</v>
      </c>
      <c r="I30" s="25" t="inlineStr">
        <is>
          <t>ノーザンF</t>
        </is>
      </c>
      <c r="J30" s="27" t="n">
        <v>6000</v>
      </c>
      <c r="K30" s="27" t="n">
        <v>150000</v>
      </c>
      <c r="L30" s="24" t="n">
        <v>9</v>
      </c>
      <c r="M30" s="24" t="n">
        <v>4</v>
      </c>
      <c r="N30" s="24">
        <f>IF(OR(L30="",M30=""),"",L30+M30)</f>
        <v/>
      </c>
      <c r="O30" s="24" t="n">
        <v>421</v>
      </c>
      <c r="P30" s="28" t="n">
        <v>2</v>
      </c>
      <c r="Q30" s="25" t="inlineStr">
        <is>
          <t>関東</t>
        </is>
      </c>
      <c r="R30" s="25" t="inlineStr">
        <is>
          <t>栗田徹</t>
        </is>
      </c>
      <c r="S30" s="29" t="inlineStr">
        <is>
          <t>○</t>
        </is>
      </c>
      <c r="T30" s="24" t="n">
        <v>157</v>
      </c>
      <c r="U30" s="24" t="n">
        <v>174</v>
      </c>
      <c r="V30" s="24" t="n">
        <v>20</v>
      </c>
      <c r="W30" s="29" t="inlineStr">
        <is>
          <t>牡・420kg+</t>
        </is>
      </c>
    </row>
    <row r="31" ht="15" customHeight="1" s="19">
      <c r="A31" s="24" t="n">
        <v>30</v>
      </c>
      <c r="B31" s="24" t="n"/>
      <c r="C31" s="25" t="inlineStr">
        <is>
          <t>ゴールデンプルーフの25</t>
        </is>
      </c>
      <c r="D31" s="25" t="inlineStr">
        <is>
          <t>リアルスティール</t>
        </is>
      </c>
      <c r="E31" s="25" t="inlineStr">
        <is>
          <t>トーセンジョーダン</t>
        </is>
      </c>
      <c r="F31" s="25" t="inlineStr">
        <is>
          <t>メス</t>
        </is>
      </c>
      <c r="G31" s="25" t="inlineStr">
        <is>
          <t>鹿</t>
        </is>
      </c>
      <c r="H31" s="26" t="n">
        <v>45714</v>
      </c>
      <c r="I31" s="25" t="inlineStr">
        <is>
          <t>ノーザンF</t>
        </is>
      </c>
      <c r="J31" s="27" t="n">
        <v>3600</v>
      </c>
      <c r="K31" s="27" t="n">
        <v>90000</v>
      </c>
      <c r="L31" s="24" t="n">
        <v>7</v>
      </c>
      <c r="M31" s="24" t="n">
        <v>2</v>
      </c>
      <c r="N31" s="24">
        <f>IF(OR(L31="",M31=""),"",L31+M31)</f>
        <v/>
      </c>
      <c r="O31" s="24" t="n">
        <v>429</v>
      </c>
      <c r="P31" s="28" t="n">
        <v>2</v>
      </c>
      <c r="Q31" s="25" t="inlineStr">
        <is>
          <t>関東</t>
        </is>
      </c>
      <c r="R31" s="25" t="inlineStr">
        <is>
          <t>蛯名正義</t>
        </is>
      </c>
      <c r="S31" s="29" t="inlineStr"/>
      <c r="T31" s="24" t="n">
        <v>155.5</v>
      </c>
      <c r="U31" s="24" t="n">
        <v>172.5</v>
      </c>
      <c r="V31" s="24" t="n">
        <v>19.3</v>
      </c>
      <c r="W31" s="29" t="inlineStr">
        <is>
          <t>価格帯・420kg+</t>
        </is>
      </c>
    </row>
    <row r="32" ht="15" customHeight="1" s="19">
      <c r="A32" s="24" t="n">
        <v>31</v>
      </c>
      <c r="B32" s="24" t="inlineStr">
        <is>
          <t>●</t>
        </is>
      </c>
      <c r="C32" s="25" t="inlineStr">
        <is>
          <t>サンクテュエールの25</t>
        </is>
      </c>
      <c r="D32" s="25" t="inlineStr">
        <is>
          <t>ドレフォン</t>
        </is>
      </c>
      <c r="E32" s="25" t="inlineStr">
        <is>
          <t>ディープインパクト</t>
        </is>
      </c>
      <c r="F32" s="25" t="inlineStr">
        <is>
          <t>牡</t>
        </is>
      </c>
      <c r="G32" s="25" t="inlineStr">
        <is>
          <t>黒鹿</t>
        </is>
      </c>
      <c r="H32" s="26" t="n">
        <v>45682</v>
      </c>
      <c r="I32" s="25" t="inlineStr">
        <is>
          <t>ノーザンF</t>
        </is>
      </c>
      <c r="J32" s="27" t="n">
        <v>6000</v>
      </c>
      <c r="K32" s="27" t="n">
        <v>150000</v>
      </c>
      <c r="L32" s="24" t="n">
        <v>8</v>
      </c>
      <c r="M32" s="24" t="n">
        <v>2</v>
      </c>
      <c r="N32" s="24">
        <f>IF(OR(L32="",M32=""),"",L32+M32)</f>
        <v/>
      </c>
      <c r="O32" s="24" t="n">
        <v>422</v>
      </c>
      <c r="P32" s="28" t="n">
        <v>2</v>
      </c>
      <c r="Q32" s="25" t="inlineStr">
        <is>
          <t>関東</t>
        </is>
      </c>
      <c r="R32" s="25" t="inlineStr">
        <is>
          <t>西田雄一郎</t>
        </is>
      </c>
      <c r="S32" s="29" t="inlineStr"/>
      <c r="T32" s="24" t="n">
        <v>152</v>
      </c>
      <c r="U32" s="24" t="n">
        <v>171.5</v>
      </c>
      <c r="V32" s="24" t="n">
        <v>20.5</v>
      </c>
      <c r="W32" s="29" t="inlineStr">
        <is>
          <t>牡・420kg+</t>
        </is>
      </c>
    </row>
    <row r="33" ht="15" customHeight="1" s="19">
      <c r="A33" s="24" t="n">
        <v>32</v>
      </c>
      <c r="B33" s="24" t="n"/>
      <c r="C33" s="25" t="inlineStr">
        <is>
          <t>デイトユアドリームの25</t>
        </is>
      </c>
      <c r="D33" s="25" t="inlineStr">
        <is>
          <t>ルヴァンスレーヴ</t>
        </is>
      </c>
      <c r="E33" s="25" t="inlineStr">
        <is>
          <t>トワイニング</t>
        </is>
      </c>
      <c r="F33" s="25" t="inlineStr">
        <is>
          <t>牡</t>
        </is>
      </c>
      <c r="G33" s="25" t="inlineStr">
        <is>
          <t>鹿</t>
        </is>
      </c>
      <c r="H33" s="26" t="n">
        <v>45743</v>
      </c>
      <c r="I33" s="25" t="inlineStr">
        <is>
          <t>ノーザンF</t>
        </is>
      </c>
      <c r="J33" s="27" t="n">
        <v>2800</v>
      </c>
      <c r="K33" s="27" t="n">
        <v>70000</v>
      </c>
      <c r="L33" s="24" t="n">
        <v>19</v>
      </c>
      <c r="M33" s="24" t="n">
        <v>11</v>
      </c>
      <c r="N33" s="24">
        <f>IF(OR(L33="",M33=""),"",L33+M33)</f>
        <v/>
      </c>
      <c r="O33" s="24" t="n">
        <v>407</v>
      </c>
      <c r="P33" s="28" t="n">
        <v>2</v>
      </c>
      <c r="Q33" s="25" t="inlineStr">
        <is>
          <t>関東</t>
        </is>
      </c>
      <c r="R33" s="25" t="inlineStr">
        <is>
          <t>金成貴史</t>
        </is>
      </c>
      <c r="S33" s="29" t="inlineStr"/>
      <c r="T33" s="24" t="n">
        <v>150</v>
      </c>
      <c r="U33" s="24" t="n">
        <v>170.5</v>
      </c>
      <c r="V33" s="24" t="n">
        <v>19.7</v>
      </c>
      <c r="W33" s="29" t="inlineStr">
        <is>
          <t>牡・価格帯</t>
        </is>
      </c>
    </row>
    <row r="34" ht="15" customHeight="1" s="19">
      <c r="A34" s="24" t="n">
        <v>33</v>
      </c>
      <c r="B34" s="24" t="inlineStr">
        <is>
          <t>●</t>
        </is>
      </c>
      <c r="C34" s="25" t="inlineStr">
        <is>
          <t>クルミナルの25</t>
        </is>
      </c>
      <c r="D34" s="25" t="inlineStr">
        <is>
          <t>ウエストオーバー</t>
        </is>
      </c>
      <c r="E34" s="25" t="inlineStr">
        <is>
          <t>ディープインパクト</t>
        </is>
      </c>
      <c r="F34" s="25" t="inlineStr">
        <is>
          <t>牡</t>
        </is>
      </c>
      <c r="G34" s="25" t="inlineStr">
        <is>
          <t>栗</t>
        </is>
      </c>
      <c r="H34" s="26" t="n">
        <v>45698</v>
      </c>
      <c r="I34" s="25" t="inlineStr">
        <is>
          <t>ノーザンF</t>
        </is>
      </c>
      <c r="J34" s="27" t="n">
        <v>6000</v>
      </c>
      <c r="K34" s="27" t="n">
        <v>150000</v>
      </c>
      <c r="L34" s="24" t="n">
        <v>13</v>
      </c>
      <c r="M34" s="24" t="n">
        <v>7</v>
      </c>
      <c r="N34" s="24">
        <f>IF(OR(L34="",M34=""),"",L34+M34)</f>
        <v/>
      </c>
      <c r="O34" s="24" t="n">
        <v>487</v>
      </c>
      <c r="P34" s="28" t="n">
        <v>2</v>
      </c>
      <c r="Q34" s="25" t="inlineStr">
        <is>
          <t>関東</t>
        </is>
      </c>
      <c r="R34" s="25" t="inlineStr">
        <is>
          <t>森一誠</t>
        </is>
      </c>
      <c r="S34" s="29" t="inlineStr">
        <is>
          <t>○</t>
        </is>
      </c>
      <c r="T34" s="24" t="n">
        <v>160</v>
      </c>
      <c r="U34" s="24" t="n">
        <v>180</v>
      </c>
      <c r="V34" s="24" t="n">
        <v>21</v>
      </c>
      <c r="W34" s="29" t="inlineStr">
        <is>
          <t>牡・420kg+</t>
        </is>
      </c>
    </row>
    <row r="35" ht="15" customHeight="1" s="19">
      <c r="A35" s="24" t="n">
        <v>34</v>
      </c>
      <c r="B35" s="24" t="inlineStr">
        <is>
          <t>●</t>
        </is>
      </c>
      <c r="C35" s="25" t="inlineStr">
        <is>
          <t>メルヴィルの25</t>
        </is>
      </c>
      <c r="D35" s="25" t="inlineStr">
        <is>
          <t>クリソベリル</t>
        </is>
      </c>
      <c r="E35" s="25" t="inlineStr">
        <is>
          <t>ミッキーアイル</t>
        </is>
      </c>
      <c r="F35" s="25" t="inlineStr">
        <is>
          <t>メス</t>
        </is>
      </c>
      <c r="G35" s="25" t="inlineStr">
        <is>
          <t>栗</t>
        </is>
      </c>
      <c r="H35" s="26" t="n">
        <v>45717</v>
      </c>
      <c r="I35" s="25" t="inlineStr">
        <is>
          <t>ノーザンF</t>
        </is>
      </c>
      <c r="J35" s="27" t="n">
        <v>2400</v>
      </c>
      <c r="K35" s="27" t="n">
        <v>60000</v>
      </c>
      <c r="L35" s="24" t="n">
        <v>6</v>
      </c>
      <c r="M35" s="24" t="n">
        <v>1</v>
      </c>
      <c r="N35" s="24">
        <f>IF(OR(L35="",M35=""),"",L35+M35)</f>
        <v/>
      </c>
      <c r="O35" s="24" t="n">
        <v>420</v>
      </c>
      <c r="P35" s="28" t="n">
        <v>1</v>
      </c>
      <c r="Q35" s="25" t="inlineStr">
        <is>
          <t>関東</t>
        </is>
      </c>
      <c r="R35" s="25" t="inlineStr">
        <is>
          <t>高橋文雅</t>
        </is>
      </c>
      <c r="S35" s="29" t="inlineStr"/>
      <c r="T35" s="24" t="n">
        <v>153</v>
      </c>
      <c r="U35" s="24" t="n">
        <v>172.5</v>
      </c>
      <c r="V35" s="24" t="n">
        <v>19.7</v>
      </c>
      <c r="W35" s="29" t="inlineStr">
        <is>
          <t>420kg+</t>
        </is>
      </c>
    </row>
    <row r="36" ht="15" customHeight="1" s="19">
      <c r="A36" s="24" t="n">
        <v>35</v>
      </c>
      <c r="B36" s="24" t="n"/>
      <c r="C36" s="25" t="inlineStr">
        <is>
          <t>ナンシーフロムナイロビの25</t>
        </is>
      </c>
      <c r="D36" s="25" t="inlineStr">
        <is>
          <t>パレスマリス</t>
        </is>
      </c>
      <c r="E36" s="24" t="inlineStr">
        <is>
          <t>Sixties Icon</t>
        </is>
      </c>
      <c r="F36" s="25" t="inlineStr">
        <is>
          <t>メス</t>
        </is>
      </c>
      <c r="G36" s="25" t="inlineStr">
        <is>
          <t>鹿</t>
        </is>
      </c>
      <c r="H36" s="26" t="n">
        <v>45700</v>
      </c>
      <c r="I36" s="25" t="inlineStr">
        <is>
          <t>ビッグレッドF*</t>
        </is>
      </c>
      <c r="J36" s="27" t="n">
        <v>3000</v>
      </c>
      <c r="K36" s="27" t="n">
        <v>75000</v>
      </c>
      <c r="L36" s="24" t="n">
        <v>14</v>
      </c>
      <c r="M36" s="24" t="n">
        <v>5</v>
      </c>
      <c r="N36" s="24">
        <f>IF(OR(L36="",M36=""),"",L36+M36)</f>
        <v/>
      </c>
      <c r="O36" s="24" t="n">
        <v>425</v>
      </c>
      <c r="P36" s="28" t="n">
        <v>2</v>
      </c>
      <c r="Q36" s="25" t="inlineStr">
        <is>
          <t>関東</t>
        </is>
      </c>
      <c r="R36" s="25" t="inlineStr">
        <is>
          <t>嘉藤貴行</t>
        </is>
      </c>
      <c r="S36" s="29" t="inlineStr"/>
      <c r="T36" s="24" t="n">
        <v>158</v>
      </c>
      <c r="U36" s="24" t="n">
        <v>173.5</v>
      </c>
      <c r="V36" s="24" t="n">
        <v>19.5</v>
      </c>
      <c r="W36" s="29" t="inlineStr">
        <is>
          <t>価格帯・420kg+</t>
        </is>
      </c>
    </row>
    <row r="37" ht="15" customHeight="1" s="19">
      <c r="A37" s="24" t="n">
        <v>36</v>
      </c>
      <c r="B37" s="24" t="inlineStr">
        <is>
          <t>●</t>
        </is>
      </c>
      <c r="C37" s="25" t="inlineStr">
        <is>
          <t>シーズンズギフトの25</t>
        </is>
      </c>
      <c r="D37" s="25" t="inlineStr">
        <is>
          <t>ピクシーナイト</t>
        </is>
      </c>
      <c r="E37" s="25" t="inlineStr">
        <is>
          <t>エピファネイア</t>
        </is>
      </c>
      <c r="F37" s="25" t="inlineStr">
        <is>
          <t>メス</t>
        </is>
      </c>
      <c r="G37" s="25" t="inlineStr">
        <is>
          <t>青鹿</t>
        </is>
      </c>
      <c r="H37" s="26" t="n">
        <v>45666</v>
      </c>
      <c r="I37" s="25" t="inlineStr">
        <is>
          <t>ノーザンF</t>
        </is>
      </c>
      <c r="J37" s="27" t="n">
        <v>3600</v>
      </c>
      <c r="K37" s="27" t="n">
        <v>90000</v>
      </c>
      <c r="L37" s="24" t="n">
        <v>8</v>
      </c>
      <c r="M37" s="24" t="n">
        <v>2</v>
      </c>
      <c r="N37" s="24">
        <f>IF(OR(L37="",M37=""),"",L37+M37)</f>
        <v/>
      </c>
      <c r="O37" s="24" t="n">
        <v>489</v>
      </c>
      <c r="P37" s="28" t="n">
        <v>2</v>
      </c>
      <c r="Q37" s="25" t="inlineStr">
        <is>
          <t>関東</t>
        </is>
      </c>
      <c r="R37" s="25" t="inlineStr">
        <is>
          <t>黒岩陽一</t>
        </is>
      </c>
      <c r="S37" s="29" t="inlineStr">
        <is>
          <t>○</t>
        </is>
      </c>
      <c r="T37" s="24" t="n">
        <v>155</v>
      </c>
      <c r="U37" s="24" t="n">
        <v>184.5</v>
      </c>
      <c r="V37" s="24" t="n">
        <v>20.5</v>
      </c>
      <c r="W37" s="29" t="inlineStr">
        <is>
          <t>価格帯・420kg+</t>
        </is>
      </c>
    </row>
    <row r="38" ht="15" customHeight="1" s="19">
      <c r="A38" s="24" t="n">
        <v>37</v>
      </c>
      <c r="B38" s="24" t="inlineStr">
        <is>
          <t>●</t>
        </is>
      </c>
      <c r="C38" s="25" t="inlineStr">
        <is>
          <t>バイラオーラの25</t>
        </is>
      </c>
      <c r="D38" s="25" t="inlineStr">
        <is>
          <t>ホットロッドチャーリー</t>
        </is>
      </c>
      <c r="E38" s="25" t="inlineStr">
        <is>
          <t>トワイニング</t>
        </is>
      </c>
      <c r="F38" s="25" t="inlineStr">
        <is>
          <t>メス</t>
        </is>
      </c>
      <c r="G38" s="25" t="inlineStr">
        <is>
          <t>黒鹿</t>
        </is>
      </c>
      <c r="H38" s="26" t="n">
        <v>45757</v>
      </c>
      <c r="I38" s="25" t="inlineStr">
        <is>
          <t>ノーザンF</t>
        </is>
      </c>
      <c r="J38" s="27" t="n">
        <v>2000</v>
      </c>
      <c r="K38" s="27" t="n">
        <v>50000</v>
      </c>
      <c r="L38" s="24" t="n">
        <v>19</v>
      </c>
      <c r="M38" s="24" t="n">
        <v>9</v>
      </c>
      <c r="N38" s="24">
        <f>IF(OR(L38="",M38=""),"",L38+M38)</f>
        <v/>
      </c>
      <c r="O38" s="24" t="n">
        <v>400</v>
      </c>
      <c r="P38" s="28" t="n">
        <v>0</v>
      </c>
      <c r="Q38" s="25" t="inlineStr">
        <is>
          <t>関東</t>
        </is>
      </c>
      <c r="R38" s="25" t="inlineStr">
        <is>
          <t>竹内正洋</t>
        </is>
      </c>
      <c r="S38" s="29" t="inlineStr"/>
      <c r="T38" s="24" t="n">
        <v>150.5</v>
      </c>
      <c r="U38" s="24" t="n">
        <v>170</v>
      </c>
      <c r="V38" s="24" t="n">
        <v>18.6</v>
      </c>
      <c r="W38" s="29" t="inlineStr"/>
    </row>
    <row r="39" ht="15" customHeight="1" s="19">
      <c r="A39" s="24" t="n">
        <v>38</v>
      </c>
      <c r="B39" s="24" t="n"/>
      <c r="C39" s="25" t="inlineStr">
        <is>
          <t>シャトンアンジュの25</t>
        </is>
      </c>
      <c r="D39" s="25" t="inlineStr">
        <is>
          <t>ルーラーシップ</t>
        </is>
      </c>
      <c r="E39" s="25" t="inlineStr">
        <is>
          <t>ディープインパクト</t>
        </is>
      </c>
      <c r="F39" s="25" t="inlineStr">
        <is>
          <t>メス</t>
        </is>
      </c>
      <c r="G39" s="25" t="inlineStr">
        <is>
          <t>黒鹿</t>
        </is>
      </c>
      <c r="H39" s="26" t="n">
        <v>45743</v>
      </c>
      <c r="I39" s="25" t="inlineStr">
        <is>
          <t>ノーザンF</t>
        </is>
      </c>
      <c r="J39" s="27" t="n">
        <v>2000</v>
      </c>
      <c r="K39" s="27" t="n">
        <v>50000</v>
      </c>
      <c r="L39" s="24" t="n">
        <v>6</v>
      </c>
      <c r="M39" s="24" t="n">
        <v>1</v>
      </c>
      <c r="N39" s="24">
        <f>IF(OR(L39="",M39=""),"",L39+M39)</f>
        <v/>
      </c>
      <c r="O39" s="24" t="n">
        <v>414</v>
      </c>
      <c r="P39" s="28" t="n">
        <v>0</v>
      </c>
      <c r="Q39" s="25" t="inlineStr">
        <is>
          <t>関東</t>
        </is>
      </c>
      <c r="R39" s="25" t="inlineStr">
        <is>
          <t>柄崎将寿</t>
        </is>
      </c>
      <c r="S39" s="29" t="inlineStr"/>
      <c r="T39" s="24" t="n">
        <v>153</v>
      </c>
      <c r="U39" s="24" t="n">
        <v>170</v>
      </c>
      <c r="V39" s="24" t="n">
        <v>19</v>
      </c>
      <c r="W39" s="29" t="inlineStr"/>
    </row>
    <row r="40" ht="15" customHeight="1" s="19">
      <c r="A40" s="24" t="n">
        <v>39</v>
      </c>
      <c r="B40" s="24" t="inlineStr">
        <is>
          <t>●</t>
        </is>
      </c>
      <c r="C40" s="25" t="inlineStr">
        <is>
          <t>セレナズヴォイスの25</t>
        </is>
      </c>
      <c r="D40" s="25" t="inlineStr">
        <is>
          <t>チュウワウィザード</t>
        </is>
      </c>
      <c r="E40" s="25" t="inlineStr">
        <is>
          <t>オナーコード</t>
        </is>
      </c>
      <c r="F40" s="25" t="inlineStr">
        <is>
          <t>メス</t>
        </is>
      </c>
      <c r="G40" s="25" t="inlineStr">
        <is>
          <t>黒鹿</t>
        </is>
      </c>
      <c r="H40" s="26" t="n">
        <v>45675</v>
      </c>
      <c r="I40" s="25" t="inlineStr">
        <is>
          <t>白老F</t>
        </is>
      </c>
      <c r="J40" s="27" t="n">
        <v>1800</v>
      </c>
      <c r="K40" s="27" t="n">
        <v>45000</v>
      </c>
      <c r="L40" s="24" t="n">
        <v>8</v>
      </c>
      <c r="M40" s="24" t="n">
        <v>5</v>
      </c>
      <c r="N40" s="24">
        <f>IF(OR(L40="",M40=""),"",L40+M40)</f>
        <v/>
      </c>
      <c r="O40" s="24" t="n">
        <v>457</v>
      </c>
      <c r="P40" s="28" t="n">
        <v>1</v>
      </c>
      <c r="Q40" s="25" t="inlineStr">
        <is>
          <t>関東</t>
        </is>
      </c>
      <c r="R40" s="25" t="inlineStr">
        <is>
          <t>柄崎将寿</t>
        </is>
      </c>
      <c r="S40" s="29" t="inlineStr"/>
      <c r="T40" s="24" t="n">
        <v>155.5</v>
      </c>
      <c r="U40" s="24" t="n">
        <v>172</v>
      </c>
      <c r="V40" s="24" t="n">
        <v>19.8</v>
      </c>
      <c r="W40" s="29" t="inlineStr">
        <is>
          <t>420kg+</t>
        </is>
      </c>
    </row>
    <row r="41" ht="15" customHeight="1" s="19">
      <c r="A41" s="24" t="n">
        <v>40</v>
      </c>
      <c r="B41" s="24" t="inlineStr">
        <is>
          <t>●</t>
        </is>
      </c>
      <c r="C41" s="25" t="inlineStr">
        <is>
          <t>ジェムフェザーの25</t>
        </is>
      </c>
      <c r="D41" s="25" t="inlineStr">
        <is>
          <t>マジェスティックウォリアー</t>
        </is>
      </c>
      <c r="E41" s="25" t="inlineStr">
        <is>
          <t>ディープインパクト</t>
        </is>
      </c>
      <c r="F41" s="25" t="inlineStr">
        <is>
          <t>牡</t>
        </is>
      </c>
      <c r="G41" s="25" t="inlineStr">
        <is>
          <t>鹿</t>
        </is>
      </c>
      <c r="H41" s="26" t="n">
        <v>45679</v>
      </c>
      <c r="I41" s="25" t="inlineStr">
        <is>
          <t>ノーザンF</t>
        </is>
      </c>
      <c r="J41" s="27" t="n">
        <v>3200</v>
      </c>
      <c r="K41" s="27" t="n">
        <v>80000</v>
      </c>
      <c r="L41" s="24" t="n">
        <v>7</v>
      </c>
      <c r="M41" s="24" t="n">
        <v>1</v>
      </c>
      <c r="N41" s="24">
        <f>IF(OR(L41="",M41=""),"",L41+M41)</f>
        <v/>
      </c>
      <c r="O41" s="24" t="n">
        <v>456</v>
      </c>
      <c r="P41" s="28" t="n">
        <v>3</v>
      </c>
      <c r="Q41" s="25" t="inlineStr">
        <is>
          <t>関東</t>
        </is>
      </c>
      <c r="R41" s="25" t="inlineStr">
        <is>
          <t>伊藤大士</t>
        </is>
      </c>
      <c r="S41" s="29" t="inlineStr"/>
      <c r="T41" s="24" t="n">
        <v>154.5</v>
      </c>
      <c r="U41" s="24" t="n">
        <v>172</v>
      </c>
      <c r="V41" s="24" t="n">
        <v>20.5</v>
      </c>
      <c r="W41" s="29" t="inlineStr">
        <is>
          <t>牡・価格帯・420kg+</t>
        </is>
      </c>
    </row>
    <row r="42" ht="15" customHeight="1" s="19">
      <c r="A42" s="24" t="n">
        <v>41</v>
      </c>
      <c r="B42" s="24" t="inlineStr">
        <is>
          <t>●</t>
        </is>
      </c>
      <c r="C42" s="25" t="inlineStr">
        <is>
          <t>シャイントレイルの25</t>
        </is>
      </c>
      <c r="D42" s="25" t="inlineStr">
        <is>
          <t>ミッキーアイル</t>
        </is>
      </c>
      <c r="E42" s="25" t="inlineStr">
        <is>
          <t>ヴィクトワールピサ</t>
        </is>
      </c>
      <c r="F42" s="25" t="inlineStr">
        <is>
          <t>メス</t>
        </is>
      </c>
      <c r="G42" s="25" t="inlineStr">
        <is>
          <t>芦</t>
        </is>
      </c>
      <c r="H42" s="26" t="n">
        <v>45725</v>
      </c>
      <c r="I42" s="25" t="inlineStr">
        <is>
          <t>ノーザンF</t>
        </is>
      </c>
      <c r="J42" s="27" t="n">
        <v>2800</v>
      </c>
      <c r="K42" s="27" t="n">
        <v>70000</v>
      </c>
      <c r="L42" s="24" t="n">
        <v>11</v>
      </c>
      <c r="M42" s="24" t="n">
        <v>3</v>
      </c>
      <c r="N42" s="24">
        <f>IF(OR(L42="",M42=""),"",L42+M42)</f>
        <v/>
      </c>
      <c r="O42" s="24" t="n">
        <v>440</v>
      </c>
      <c r="P42" s="28" t="n">
        <v>2</v>
      </c>
      <c r="Q42" s="25" t="inlineStr">
        <is>
          <t>関東</t>
        </is>
      </c>
      <c r="R42" s="25" t="inlineStr">
        <is>
          <t>矢野英一</t>
        </is>
      </c>
      <c r="S42" s="29" t="inlineStr">
        <is>
          <t>○</t>
        </is>
      </c>
      <c r="T42" s="24" t="n">
        <v>155</v>
      </c>
      <c r="U42" s="24" t="n">
        <v>178</v>
      </c>
      <c r="V42" s="24" t="n">
        <v>19.1</v>
      </c>
      <c r="W42" s="29" t="inlineStr">
        <is>
          <t>価格帯・420kg+</t>
        </is>
      </c>
    </row>
    <row r="43" ht="15" customHeight="1" s="19">
      <c r="A43" s="24" t="n">
        <v>42</v>
      </c>
      <c r="B43" s="24" t="n"/>
      <c r="C43" s="25" t="inlineStr">
        <is>
          <t>パストフォリアの25</t>
        </is>
      </c>
      <c r="D43" s="25" t="inlineStr">
        <is>
          <t>リオンディーズ</t>
        </is>
      </c>
      <c r="E43" s="25" t="inlineStr">
        <is>
          <t>シンボリクリスエス</t>
        </is>
      </c>
      <c r="F43" s="25" t="inlineStr">
        <is>
          <t>牡</t>
        </is>
      </c>
      <c r="G43" s="25" t="inlineStr">
        <is>
          <t>鹿</t>
        </is>
      </c>
      <c r="H43" s="26" t="n">
        <v>45753</v>
      </c>
      <c r="I43" s="25" t="inlineStr">
        <is>
          <t>ノーザンF</t>
        </is>
      </c>
      <c r="J43" s="27" t="n">
        <v>6000</v>
      </c>
      <c r="K43" s="27" t="n">
        <v>150000</v>
      </c>
      <c r="L43" s="24" t="n">
        <v>16</v>
      </c>
      <c r="M43" s="24" t="n">
        <v>7</v>
      </c>
      <c r="N43" s="24">
        <f>IF(OR(L43="",M43=""),"",L43+M43)</f>
        <v/>
      </c>
      <c r="O43" s="24" t="n">
        <v>438</v>
      </c>
      <c r="P43" s="28" t="n">
        <v>2</v>
      </c>
      <c r="Q43" s="25" t="inlineStr">
        <is>
          <t>関東</t>
        </is>
      </c>
      <c r="R43" s="25" t="inlineStr">
        <is>
          <t>宮田敬介</t>
        </is>
      </c>
      <c r="S43" s="29" t="inlineStr"/>
      <c r="T43" s="24" t="n">
        <v>152</v>
      </c>
      <c r="U43" s="24" t="n">
        <v>173</v>
      </c>
      <c r="V43" s="24" t="n">
        <v>20.5</v>
      </c>
      <c r="W43" s="29" t="inlineStr">
        <is>
          <t>牡・420kg+</t>
        </is>
      </c>
    </row>
    <row r="44" ht="15" customHeight="1" s="19">
      <c r="A44" s="24" t="n">
        <v>43</v>
      </c>
      <c r="B44" s="24" t="n"/>
      <c r="C44" s="25" t="inlineStr">
        <is>
          <t>○外ビディデュークの25</t>
        </is>
      </c>
      <c r="D44" s="24" t="inlineStr">
        <is>
          <t>Forte</t>
        </is>
      </c>
      <c r="E44" s="24" t="inlineStr">
        <is>
          <t>Bayern</t>
        </is>
      </c>
      <c r="F44" s="25" t="inlineStr">
        <is>
          <t>牡</t>
        </is>
      </c>
      <c r="G44" s="25" t="inlineStr">
        <is>
          <t>栗</t>
        </is>
      </c>
      <c r="H44" s="26" t="n">
        <v>45765</v>
      </c>
      <c r="I44" s="25" t="inlineStr">
        <is>
          <t>白老F</t>
        </is>
      </c>
      <c r="J44" s="27" t="n">
        <v>3600</v>
      </c>
      <c r="K44" s="27" t="n">
        <v>90000</v>
      </c>
      <c r="L44" s="24" t="n">
        <v>8</v>
      </c>
      <c r="M44" s="24" t="n"/>
      <c r="N44" s="24">
        <f>IF(OR(L44="",M44=""),"",L44+M44)</f>
        <v/>
      </c>
      <c r="O44" s="24" t="n">
        <v>412</v>
      </c>
      <c r="P44" s="28" t="n">
        <v>2</v>
      </c>
      <c r="Q44" s="25" t="inlineStr">
        <is>
          <t>関東</t>
        </is>
      </c>
      <c r="R44" s="25" t="inlineStr">
        <is>
          <t>加藤征弘</t>
        </is>
      </c>
      <c r="S44" s="29" t="inlineStr">
        <is>
          <t>○</t>
        </is>
      </c>
      <c r="T44" s="24" t="n">
        <v>150</v>
      </c>
      <c r="U44" s="24" t="n">
        <v>166</v>
      </c>
      <c r="V44" s="24" t="n">
        <v>19.8</v>
      </c>
      <c r="W44" s="29" t="inlineStr">
        <is>
          <t>牡・価格帯</t>
        </is>
      </c>
    </row>
    <row r="45" ht="15" customHeight="1" s="19">
      <c r="A45" s="24" t="n">
        <v>44</v>
      </c>
      <c r="B45" s="24" t="n"/>
      <c r="C45" s="25" t="inlineStr">
        <is>
          <t>プロスペラスヴォヤージの25</t>
        </is>
      </c>
      <c r="D45" s="24" t="inlineStr">
        <is>
          <t>Kingman</t>
        </is>
      </c>
      <c r="E45" s="24" t="inlineStr">
        <is>
          <t>Zoffany</t>
        </is>
      </c>
      <c r="F45" s="25" t="inlineStr">
        <is>
          <t>牡</t>
        </is>
      </c>
      <c r="G45" s="25" t="inlineStr">
        <is>
          <t>鹿</t>
        </is>
      </c>
      <c r="H45" s="26" t="n">
        <v>45697</v>
      </c>
      <c r="I45" s="25" t="inlineStr">
        <is>
          <t>ノーザンF</t>
        </is>
      </c>
      <c r="J45" s="27" t="n">
        <v>10000</v>
      </c>
      <c r="K45" s="27" t="n">
        <v>250000</v>
      </c>
      <c r="L45" s="24" t="n">
        <v>6</v>
      </c>
      <c r="M45" s="24" t="n">
        <v>1</v>
      </c>
      <c r="N45" s="24">
        <f>IF(OR(L45="",M45=""),"",L45+M45)</f>
        <v/>
      </c>
      <c r="O45" s="24" t="n">
        <v>445</v>
      </c>
      <c r="P45" s="28" t="n">
        <v>2</v>
      </c>
      <c r="Q45" s="25" t="inlineStr">
        <is>
          <t>関東</t>
        </is>
      </c>
      <c r="R45" s="25" t="inlineStr">
        <is>
          <t>手塚貴久</t>
        </is>
      </c>
      <c r="S45" s="29" t="inlineStr">
        <is>
          <t>○</t>
        </is>
      </c>
      <c r="T45" s="24" t="n">
        <v>154.5</v>
      </c>
      <c r="U45" s="24" t="n">
        <v>172</v>
      </c>
      <c r="V45" s="24" t="n">
        <v>19.5</v>
      </c>
      <c r="W45" s="29" t="inlineStr">
        <is>
          <t>牡・420kg+</t>
        </is>
      </c>
    </row>
    <row r="46" ht="15" customHeight="1" s="19">
      <c r="A46" s="24" t="n">
        <v>45</v>
      </c>
      <c r="B46" s="24" t="n"/>
      <c r="C46" s="25" t="inlineStr">
        <is>
          <t>フォトコールの25</t>
        </is>
      </c>
      <c r="D46" s="25" t="inlineStr">
        <is>
          <t>イクイノックス</t>
        </is>
      </c>
      <c r="E46" s="24" t="inlineStr">
        <is>
          <t>Galileo</t>
        </is>
      </c>
      <c r="F46" s="25" t="inlineStr">
        <is>
          <t>牡</t>
        </is>
      </c>
      <c r="G46" s="25" t="inlineStr">
        <is>
          <t>黒鹿</t>
        </is>
      </c>
      <c r="H46" s="26" t="n">
        <v>45778</v>
      </c>
      <c r="I46" s="25" t="inlineStr">
        <is>
          <t>ノーザンF</t>
        </is>
      </c>
      <c r="J46" s="27" t="n">
        <v>8000</v>
      </c>
      <c r="K46" s="27" t="n">
        <v>200000</v>
      </c>
      <c r="L46" s="24" t="n">
        <v>14</v>
      </c>
      <c r="M46" s="24" t="n">
        <v>6</v>
      </c>
      <c r="N46" s="24">
        <f>IF(OR(L46="",M46=""),"",L46+M46)</f>
        <v/>
      </c>
      <c r="O46" s="24" t="n">
        <v>410</v>
      </c>
      <c r="P46" s="28" t="n">
        <v>1</v>
      </c>
      <c r="Q46" s="25" t="inlineStr">
        <is>
          <t>関西</t>
        </is>
      </c>
      <c r="R46" s="25" t="inlineStr">
        <is>
          <t>中内田充正</t>
        </is>
      </c>
      <c r="S46" s="29" t="inlineStr"/>
      <c r="T46" s="24" t="n">
        <v>158</v>
      </c>
      <c r="U46" s="24" t="n">
        <v>171.5</v>
      </c>
      <c r="V46" s="24" t="n">
        <v>20.6</v>
      </c>
      <c r="W46" s="29" t="inlineStr">
        <is>
          <t>牡</t>
        </is>
      </c>
    </row>
    <row r="47" ht="15" customHeight="1" s="19">
      <c r="A47" s="24" t="n">
        <v>46</v>
      </c>
      <c r="B47" s="24" t="inlineStr">
        <is>
          <t>●</t>
        </is>
      </c>
      <c r="C47" s="25" t="inlineStr">
        <is>
          <t>レシステンシアの25</t>
        </is>
      </c>
      <c r="D47" s="25" t="inlineStr">
        <is>
          <t>イクイノックス</t>
        </is>
      </c>
      <c r="E47" s="25" t="inlineStr">
        <is>
          <t>ダイワメジャー</t>
        </is>
      </c>
      <c r="F47" s="25" t="inlineStr">
        <is>
          <t>メス</t>
        </is>
      </c>
      <c r="G47" s="25" t="inlineStr">
        <is>
          <t>鹿</t>
        </is>
      </c>
      <c r="H47" s="26" t="n">
        <v>45745</v>
      </c>
      <c r="I47" s="25" t="inlineStr">
        <is>
          <t>ノーザンF</t>
        </is>
      </c>
      <c r="J47" s="27" t="n">
        <v>8000</v>
      </c>
      <c r="K47" s="27" t="n">
        <v>200000</v>
      </c>
      <c r="L47" s="24" t="n">
        <v>8</v>
      </c>
      <c r="M47" s="24" t="n">
        <v>2</v>
      </c>
      <c r="N47" s="24">
        <f>IF(OR(L47="",M47=""),"",L47+M47)</f>
        <v/>
      </c>
      <c r="O47" s="24" t="n">
        <v>393</v>
      </c>
      <c r="P47" s="28" t="n">
        <v>0</v>
      </c>
      <c r="Q47" s="25" t="inlineStr">
        <is>
          <t>関西</t>
        </is>
      </c>
      <c r="R47" s="25" t="inlineStr">
        <is>
          <t>松下武士</t>
        </is>
      </c>
      <c r="S47" s="29" t="inlineStr">
        <is>
          <t>△</t>
        </is>
      </c>
      <c r="T47" s="24" t="n">
        <v>155</v>
      </c>
      <c r="U47" s="24" t="n">
        <v>174.5</v>
      </c>
      <c r="V47" s="24" t="n">
        <v>19.2</v>
      </c>
      <c r="W47" s="29" t="inlineStr"/>
    </row>
    <row r="48" ht="15" customHeight="1" s="19">
      <c r="A48" s="24" t="n">
        <v>47</v>
      </c>
      <c r="B48" s="24" t="inlineStr">
        <is>
          <t>●</t>
        </is>
      </c>
      <c r="C48" s="25" t="inlineStr">
        <is>
          <t>リスグラシューの25</t>
        </is>
      </c>
      <c r="D48" s="25" t="inlineStr">
        <is>
          <t>イクイノックス</t>
        </is>
      </c>
      <c r="E48" s="25" t="inlineStr">
        <is>
          <t>ハーツクライ</t>
        </is>
      </c>
      <c r="F48" s="25" t="inlineStr">
        <is>
          <t>メス</t>
        </is>
      </c>
      <c r="G48" s="25" t="inlineStr">
        <is>
          <t>青鹿</t>
        </is>
      </c>
      <c r="H48" s="26" t="n">
        <v>45771</v>
      </c>
      <c r="I48" s="25" t="inlineStr">
        <is>
          <t>ノーザンF</t>
        </is>
      </c>
      <c r="J48" s="27" t="n">
        <v>8000</v>
      </c>
      <c r="K48" s="27" t="n">
        <v>200000</v>
      </c>
      <c r="L48" s="24" t="n">
        <v>11</v>
      </c>
      <c r="M48" s="24" t="n">
        <v>4</v>
      </c>
      <c r="N48" s="24">
        <f>IF(OR(L48="",M48=""),"",L48+M48)</f>
        <v/>
      </c>
      <c r="O48" s="24" t="n">
        <v>452</v>
      </c>
      <c r="P48" s="28" t="n">
        <v>1</v>
      </c>
      <c r="Q48" s="25" t="inlineStr">
        <is>
          <t>関西</t>
        </is>
      </c>
      <c r="R48" s="25" t="inlineStr">
        <is>
          <t>矢作芳人</t>
        </is>
      </c>
      <c r="S48" s="29" t="inlineStr">
        <is>
          <t>◎</t>
        </is>
      </c>
      <c r="T48" s="24" t="n">
        <v>153.5</v>
      </c>
      <c r="U48" s="24" t="n">
        <v>176</v>
      </c>
      <c r="V48" s="24" t="n">
        <v>20.2</v>
      </c>
      <c r="W48" s="29" t="inlineStr">
        <is>
          <t>420kg+</t>
        </is>
      </c>
    </row>
    <row r="49" ht="15" customHeight="1" s="19">
      <c r="A49" s="24" t="n">
        <v>48</v>
      </c>
      <c r="B49" s="24" t="inlineStr">
        <is>
          <t>●</t>
        </is>
      </c>
      <c r="C49" s="25" t="inlineStr">
        <is>
          <t>カイゼリンの25</t>
        </is>
      </c>
      <c r="D49" s="25" t="inlineStr">
        <is>
          <t>ヴェラアズール</t>
        </is>
      </c>
      <c r="E49" s="25" t="inlineStr">
        <is>
          <t>アドマイヤベガ</t>
        </is>
      </c>
      <c r="F49" s="25" t="inlineStr">
        <is>
          <t>牡</t>
        </is>
      </c>
      <c r="G49" s="25" t="inlineStr">
        <is>
          <t>鹿</t>
        </is>
      </c>
      <c r="H49" s="26" t="n">
        <v>45707</v>
      </c>
      <c r="I49" s="25" t="inlineStr">
        <is>
          <t>ノーザンF</t>
        </is>
      </c>
      <c r="J49" s="27" t="n">
        <v>2000</v>
      </c>
      <c r="K49" s="27" t="n">
        <v>50000</v>
      </c>
      <c r="L49" s="24" t="n">
        <v>20</v>
      </c>
      <c r="M49" s="24" t="n">
        <v>12</v>
      </c>
      <c r="N49" s="24">
        <f>IF(OR(L49="",M49=""),"",L49+M49)</f>
        <v/>
      </c>
      <c r="O49" s="24" t="n">
        <v>475</v>
      </c>
      <c r="P49" s="28" t="n">
        <v>2</v>
      </c>
      <c r="Q49" s="25" t="inlineStr">
        <is>
          <t>関西</t>
        </is>
      </c>
      <c r="R49" s="25" t="inlineStr">
        <is>
          <t>西園翔太</t>
        </is>
      </c>
      <c r="S49" s="29" t="inlineStr"/>
      <c r="T49" s="24" t="n">
        <v>158.5</v>
      </c>
      <c r="U49" s="24" t="n">
        <v>179.5</v>
      </c>
      <c r="V49" s="24" t="n">
        <v>21.3</v>
      </c>
      <c r="W49" s="29" t="inlineStr">
        <is>
          <t>牡・420kg+</t>
        </is>
      </c>
    </row>
    <row r="50" ht="15" customHeight="1" s="19">
      <c r="A50" s="24" t="n">
        <v>49</v>
      </c>
      <c r="B50" s="24" t="inlineStr">
        <is>
          <t>●</t>
        </is>
      </c>
      <c r="C50" s="25" t="inlineStr">
        <is>
          <t>ライティアの25</t>
        </is>
      </c>
      <c r="D50" s="25" t="inlineStr">
        <is>
          <t>エフフォーリア</t>
        </is>
      </c>
      <c r="E50" s="25" t="inlineStr">
        <is>
          <t>ディープインパクト</t>
        </is>
      </c>
      <c r="F50" s="25" t="inlineStr">
        <is>
          <t>牡</t>
        </is>
      </c>
      <c r="G50" s="25" t="inlineStr">
        <is>
          <t>鹿</t>
        </is>
      </c>
      <c r="H50" s="26" t="n">
        <v>45681</v>
      </c>
      <c r="I50" s="25" t="inlineStr">
        <is>
          <t>ノーザンF</t>
        </is>
      </c>
      <c r="J50" s="27" t="n">
        <v>6000</v>
      </c>
      <c r="K50" s="27" t="n">
        <v>150000</v>
      </c>
      <c r="L50" s="24" t="n">
        <v>8</v>
      </c>
      <c r="M50" s="24" t="n">
        <v>1</v>
      </c>
      <c r="N50" s="24">
        <f>IF(OR(L50="",M50=""),"",L50+M50)</f>
        <v/>
      </c>
      <c r="O50" s="24" t="n">
        <v>445</v>
      </c>
      <c r="P50" s="28" t="n">
        <v>2</v>
      </c>
      <c r="Q50" s="25" t="inlineStr">
        <is>
          <t>関西</t>
        </is>
      </c>
      <c r="R50" s="25" t="inlineStr">
        <is>
          <t>武幸四郎</t>
        </is>
      </c>
      <c r="S50" s="29" t="inlineStr">
        <is>
          <t>◎</t>
        </is>
      </c>
      <c r="T50" s="24" t="n">
        <v>152</v>
      </c>
      <c r="U50" s="24" t="n">
        <v>172</v>
      </c>
      <c r="V50" s="24" t="n">
        <v>20.9</v>
      </c>
      <c r="W50" s="29" t="inlineStr">
        <is>
          <t>牡・420kg+</t>
        </is>
      </c>
    </row>
    <row r="51" ht="15" customHeight="1" s="19">
      <c r="A51" s="24" t="n">
        <v>50</v>
      </c>
      <c r="B51" s="24" t="inlineStr">
        <is>
          <t>●</t>
        </is>
      </c>
      <c r="C51" s="25" t="inlineStr">
        <is>
          <t>シンハライトの25</t>
        </is>
      </c>
      <c r="D51" s="25" t="inlineStr">
        <is>
          <t>エフフォーリア</t>
        </is>
      </c>
      <c r="E51" s="25" t="inlineStr">
        <is>
          <t>ディープインパクト</t>
        </is>
      </c>
      <c r="F51" s="25" t="inlineStr">
        <is>
          <t>メス</t>
        </is>
      </c>
      <c r="G51" s="25" t="inlineStr">
        <is>
          <t>栗</t>
        </is>
      </c>
      <c r="H51" s="26" t="n">
        <v>45711</v>
      </c>
      <c r="I51" s="25" t="inlineStr">
        <is>
          <t>ノーザンF</t>
        </is>
      </c>
      <c r="J51" s="27" t="n">
        <v>7000</v>
      </c>
      <c r="K51" s="27" t="n">
        <v>175000</v>
      </c>
      <c r="L51" s="24" t="n">
        <v>12</v>
      </c>
      <c r="M51" s="24" t="n">
        <v>7</v>
      </c>
      <c r="N51" s="24">
        <f>IF(OR(L51="",M51=""),"",L51+M51)</f>
        <v/>
      </c>
      <c r="O51" s="24" t="n">
        <v>442</v>
      </c>
      <c r="P51" s="28" t="n">
        <v>1</v>
      </c>
      <c r="Q51" s="25" t="inlineStr">
        <is>
          <t>関西</t>
        </is>
      </c>
      <c r="R51" s="25" t="inlineStr">
        <is>
          <t>斉藤崇史</t>
        </is>
      </c>
      <c r="S51" s="29" t="inlineStr"/>
      <c r="T51" s="24" t="n">
        <v>154</v>
      </c>
      <c r="U51" s="24" t="n">
        <v>175.5</v>
      </c>
      <c r="V51" s="24" t="n">
        <v>20</v>
      </c>
      <c r="W51" s="29" t="inlineStr">
        <is>
          <t>420kg+</t>
        </is>
      </c>
    </row>
    <row r="52" ht="15" customHeight="1" s="19">
      <c r="A52" s="24" t="n">
        <v>51</v>
      </c>
      <c r="B52" s="24" t="inlineStr">
        <is>
          <t>●</t>
        </is>
      </c>
      <c r="C52" s="25" t="inlineStr">
        <is>
          <t>エスティタートの25</t>
        </is>
      </c>
      <c r="D52" s="25" t="inlineStr">
        <is>
          <t>キタサンブラック</t>
        </is>
      </c>
      <c r="E52" s="25" t="inlineStr">
        <is>
          <t>ドリームジャーニー</t>
        </is>
      </c>
      <c r="F52" s="25" t="inlineStr">
        <is>
          <t>牡</t>
        </is>
      </c>
      <c r="G52" s="25" t="inlineStr">
        <is>
          <t>鹿</t>
        </is>
      </c>
      <c r="H52" s="26" t="n">
        <v>45712</v>
      </c>
      <c r="I52" s="25" t="inlineStr">
        <is>
          <t>白老F</t>
        </is>
      </c>
      <c r="J52" s="27" t="n">
        <v>8000</v>
      </c>
      <c r="K52" s="27" t="n">
        <v>200000</v>
      </c>
      <c r="L52" s="24" t="n">
        <v>12</v>
      </c>
      <c r="M52" s="24" t="n">
        <v>6</v>
      </c>
      <c r="N52" s="24">
        <f>IF(OR(L52="",M52=""),"",L52+M52)</f>
        <v/>
      </c>
      <c r="O52" s="24" t="n">
        <v>480</v>
      </c>
      <c r="P52" s="28" t="n">
        <v>2</v>
      </c>
      <c r="Q52" s="25" t="inlineStr">
        <is>
          <t>関西</t>
        </is>
      </c>
      <c r="R52" s="25" t="inlineStr">
        <is>
          <t>上村洋行</t>
        </is>
      </c>
      <c r="S52" s="29" t="inlineStr"/>
      <c r="T52" s="24" t="n">
        <v>158.5</v>
      </c>
      <c r="U52" s="24" t="n">
        <v>179</v>
      </c>
      <c r="V52" s="24" t="n">
        <v>20.8</v>
      </c>
      <c r="W52" s="29" t="inlineStr">
        <is>
          <t>牡・420kg+</t>
        </is>
      </c>
    </row>
    <row r="53" ht="15" customHeight="1" s="19">
      <c r="A53" s="24" t="n">
        <v>52</v>
      </c>
      <c r="B53" s="24" t="n"/>
      <c r="C53" s="25" t="inlineStr">
        <is>
          <t>スウィッチインタイムの25</t>
        </is>
      </c>
      <c r="D53" s="25" t="inlineStr">
        <is>
          <t>キタサンブラック</t>
        </is>
      </c>
      <c r="E53" s="24" t="inlineStr">
        <is>
          <t>Galileo</t>
        </is>
      </c>
      <c r="F53" s="25" t="inlineStr">
        <is>
          <t>牡</t>
        </is>
      </c>
      <c r="G53" s="25" t="inlineStr">
        <is>
          <t>鹿</t>
        </is>
      </c>
      <c r="H53" s="26" t="n">
        <v>45731</v>
      </c>
      <c r="I53" s="25" t="inlineStr">
        <is>
          <t>ノーザンF</t>
        </is>
      </c>
      <c r="J53" s="27" t="n">
        <v>9000</v>
      </c>
      <c r="K53" s="27" t="n">
        <v>225000</v>
      </c>
      <c r="L53" s="24" t="n">
        <v>11</v>
      </c>
      <c r="M53" s="24" t="n">
        <v>5</v>
      </c>
      <c r="N53" s="24">
        <f>IF(OR(L53="",M53=""),"",L53+M53)</f>
        <v/>
      </c>
      <c r="O53" s="24" t="n">
        <v>466</v>
      </c>
      <c r="P53" s="28" t="n">
        <v>2</v>
      </c>
      <c r="Q53" s="25" t="inlineStr">
        <is>
          <t>関西</t>
        </is>
      </c>
      <c r="R53" s="25" t="inlineStr">
        <is>
          <t>池添学</t>
        </is>
      </c>
      <c r="S53" s="29" t="inlineStr">
        <is>
          <t>◎</t>
        </is>
      </c>
      <c r="T53" s="24" t="n">
        <v>161</v>
      </c>
      <c r="U53" s="24" t="n">
        <v>179.5</v>
      </c>
      <c r="V53" s="24" t="n">
        <v>20.9</v>
      </c>
      <c r="W53" s="29" t="inlineStr">
        <is>
          <t>牡・420kg+</t>
        </is>
      </c>
    </row>
    <row r="54" ht="15" customHeight="1" s="19">
      <c r="A54" s="24" t="n">
        <v>53</v>
      </c>
      <c r="B54" s="24" t="n"/>
      <c r="C54" s="25" t="inlineStr">
        <is>
          <t>ファハンムーラの25</t>
        </is>
      </c>
      <c r="D54" s="25" t="inlineStr">
        <is>
          <t>キタサンブラック</t>
        </is>
      </c>
      <c r="E54" s="24" t="inlineStr">
        <is>
          <t>English Channel</t>
        </is>
      </c>
      <c r="F54" s="25" t="inlineStr">
        <is>
          <t>牡</t>
        </is>
      </c>
      <c r="G54" s="25" t="inlineStr">
        <is>
          <t>鹿</t>
        </is>
      </c>
      <c r="H54" s="26" t="n">
        <v>45760</v>
      </c>
      <c r="I54" s="25" t="inlineStr">
        <is>
          <t>パカパカF*</t>
        </is>
      </c>
      <c r="J54" s="27" t="n">
        <v>9000</v>
      </c>
      <c r="K54" s="27" t="n">
        <v>225000</v>
      </c>
      <c r="L54" s="24" t="n">
        <v>11</v>
      </c>
      <c r="M54" s="24" t="n">
        <v>4</v>
      </c>
      <c r="N54" s="24">
        <f>IF(OR(L54="",M54=""),"",L54+M54)</f>
        <v/>
      </c>
      <c r="O54" s="24" t="n">
        <v>480</v>
      </c>
      <c r="P54" s="28" t="n">
        <v>2</v>
      </c>
      <c r="Q54" s="25" t="inlineStr">
        <is>
          <t>関西</t>
        </is>
      </c>
      <c r="R54" s="25" t="inlineStr">
        <is>
          <t>斉藤崇史</t>
        </is>
      </c>
      <c r="S54" s="29" t="inlineStr"/>
      <c r="T54" s="24" t="n">
        <v>156</v>
      </c>
      <c r="U54" s="24" t="n">
        <v>175</v>
      </c>
      <c r="V54" s="24" t="n">
        <v>20.7</v>
      </c>
      <c r="W54" s="29" t="inlineStr">
        <is>
          <t>牡・420kg+</t>
        </is>
      </c>
    </row>
    <row r="55" ht="15" customHeight="1" s="19">
      <c r="A55" s="24" t="n">
        <v>54</v>
      </c>
      <c r="B55" s="24" t="inlineStr">
        <is>
          <t>●</t>
        </is>
      </c>
      <c r="C55" s="25" t="inlineStr">
        <is>
          <t>ストゥーティの25</t>
        </is>
      </c>
      <c r="D55" s="25" t="inlineStr">
        <is>
          <t>キタサンブラック</t>
        </is>
      </c>
      <c r="E55" s="25" t="inlineStr">
        <is>
          <t>モーリス</t>
        </is>
      </c>
      <c r="F55" s="25" t="inlineStr">
        <is>
          <t>メス</t>
        </is>
      </c>
      <c r="G55" s="25" t="inlineStr">
        <is>
          <t>鹿</t>
        </is>
      </c>
      <c r="H55" s="26" t="n">
        <v>45711</v>
      </c>
      <c r="I55" s="25" t="inlineStr">
        <is>
          <t>ノーザンF</t>
        </is>
      </c>
      <c r="J55" s="27" t="n">
        <v>6000</v>
      </c>
      <c r="K55" s="27" t="n">
        <v>150000</v>
      </c>
      <c r="L55" s="24" t="n">
        <v>7</v>
      </c>
      <c r="M55" s="24" t="n">
        <v>1</v>
      </c>
      <c r="N55" s="24">
        <f>IF(OR(L55="",M55=""),"",L55+M55)</f>
        <v/>
      </c>
      <c r="O55" s="24" t="n">
        <v>463</v>
      </c>
      <c r="P55" s="28" t="n">
        <v>1</v>
      </c>
      <c r="Q55" s="25" t="inlineStr">
        <is>
          <t>関西</t>
        </is>
      </c>
      <c r="R55" s="25" t="inlineStr">
        <is>
          <t>福永祐一</t>
        </is>
      </c>
      <c r="S55" s="29" t="inlineStr"/>
      <c r="T55" s="24" t="n">
        <v>157.5</v>
      </c>
      <c r="U55" s="24" t="n">
        <v>179</v>
      </c>
      <c r="V55" s="24" t="n">
        <v>20.1</v>
      </c>
      <c r="W55" s="29" t="inlineStr">
        <is>
          <t>420kg+</t>
        </is>
      </c>
    </row>
    <row r="56" ht="15" customHeight="1" s="19">
      <c r="A56" s="24" t="n">
        <v>55</v>
      </c>
      <c r="B56" s="24" t="n"/>
      <c r="C56" s="25" t="inlineStr">
        <is>
          <t>ウィンターパワーの25</t>
        </is>
      </c>
      <c r="D56" s="25" t="inlineStr">
        <is>
          <t>キズナ</t>
        </is>
      </c>
      <c r="E56" s="24" t="inlineStr">
        <is>
          <t>Bungle Inthejungle</t>
        </is>
      </c>
      <c r="F56" s="25" t="inlineStr">
        <is>
          <t>牡</t>
        </is>
      </c>
      <c r="G56" s="25" t="inlineStr">
        <is>
          <t>鹿</t>
        </is>
      </c>
      <c r="H56" s="26" t="n">
        <v>45674</v>
      </c>
      <c r="I56" s="25" t="inlineStr">
        <is>
          <t>ノーザンF</t>
        </is>
      </c>
      <c r="J56" s="27" t="n">
        <v>8000</v>
      </c>
      <c r="K56" s="27" t="n">
        <v>200000</v>
      </c>
      <c r="L56" s="24" t="n">
        <v>7</v>
      </c>
      <c r="M56" s="24" t="n">
        <v>1</v>
      </c>
      <c r="N56" s="24">
        <f>IF(OR(L56="",M56=""),"",L56+M56)</f>
        <v/>
      </c>
      <c r="O56" s="24" t="n">
        <v>452</v>
      </c>
      <c r="P56" s="28" t="n">
        <v>2</v>
      </c>
      <c r="Q56" s="25" t="inlineStr">
        <is>
          <t>関西</t>
        </is>
      </c>
      <c r="R56" s="25" t="inlineStr">
        <is>
          <t>友道康夫</t>
        </is>
      </c>
      <c r="S56" s="29" t="inlineStr"/>
      <c r="T56" s="24" t="n">
        <v>151</v>
      </c>
      <c r="U56" s="24" t="n">
        <v>173.5</v>
      </c>
      <c r="V56" s="24" t="n">
        <v>19.3</v>
      </c>
      <c r="W56" s="29" t="inlineStr">
        <is>
          <t>牡・420kg+</t>
        </is>
      </c>
    </row>
    <row r="57" ht="15" customHeight="1" s="19">
      <c r="A57" s="24" t="n">
        <v>56</v>
      </c>
      <c r="B57" s="24" t="inlineStr">
        <is>
          <t>●</t>
        </is>
      </c>
      <c r="C57" s="25" t="inlineStr">
        <is>
          <t>マルシュロレーヌの25</t>
        </is>
      </c>
      <c r="D57" s="25" t="inlineStr">
        <is>
          <t>キズナ</t>
        </is>
      </c>
      <c r="E57" s="25" t="inlineStr">
        <is>
          <t>オルフェーヴル</t>
        </is>
      </c>
      <c r="F57" s="25" t="inlineStr">
        <is>
          <t>牡</t>
        </is>
      </c>
      <c r="G57" s="25" t="inlineStr">
        <is>
          <t>黒鹿</t>
        </is>
      </c>
      <c r="H57" s="26" t="n">
        <v>45783</v>
      </c>
      <c r="I57" s="25" t="inlineStr">
        <is>
          <t>ノーザンF</t>
        </is>
      </c>
      <c r="J57" s="27" t="n">
        <v>12000</v>
      </c>
      <c r="K57" s="27" t="n">
        <v>300000</v>
      </c>
      <c r="L57" s="24" t="n">
        <v>9</v>
      </c>
      <c r="M57" s="24" t="n">
        <v>3</v>
      </c>
      <c r="N57" s="24">
        <f>IF(OR(L57="",M57=""),"",L57+M57)</f>
        <v/>
      </c>
      <c r="O57" s="24" t="n">
        <v>430</v>
      </c>
      <c r="P57" s="28" t="n">
        <v>2</v>
      </c>
      <c r="Q57" s="25" t="inlineStr">
        <is>
          <t>関西</t>
        </is>
      </c>
      <c r="R57" s="25" t="inlineStr">
        <is>
          <t>矢作芳人</t>
        </is>
      </c>
      <c r="S57" s="29" t="inlineStr">
        <is>
          <t>◎</t>
        </is>
      </c>
      <c r="T57" s="24" t="n">
        <v>158</v>
      </c>
      <c r="U57" s="24" t="n">
        <v>172</v>
      </c>
      <c r="V57" s="24" t="n">
        <v>20.7</v>
      </c>
      <c r="W57" s="29" t="inlineStr">
        <is>
          <t>牡・420kg+</t>
        </is>
      </c>
    </row>
    <row r="58" ht="15" customHeight="1" s="19">
      <c r="A58" s="24" t="n">
        <v>57</v>
      </c>
      <c r="B58" s="24" t="inlineStr">
        <is>
          <t>●</t>
        </is>
      </c>
      <c r="C58" s="25" t="inlineStr">
        <is>
          <t>レイパパレの25</t>
        </is>
      </c>
      <c r="D58" s="25" t="inlineStr">
        <is>
          <t>エピファネイア</t>
        </is>
      </c>
      <c r="E58" s="25" t="inlineStr">
        <is>
          <t>ディープインパクト</t>
        </is>
      </c>
      <c r="F58" s="25" t="inlineStr">
        <is>
          <t>牡</t>
        </is>
      </c>
      <c r="G58" s="25" t="inlineStr">
        <is>
          <t>黒鹿</t>
        </is>
      </c>
      <c r="H58" s="26" t="n">
        <v>45753</v>
      </c>
      <c r="I58" s="25" t="inlineStr">
        <is>
          <t>ノーザンF</t>
        </is>
      </c>
      <c r="J58" s="27" t="n">
        <v>10000</v>
      </c>
      <c r="K58" s="27" t="n">
        <v>250000</v>
      </c>
      <c r="L58" s="24" t="n">
        <v>8</v>
      </c>
      <c r="M58" s="24" t="n">
        <v>2</v>
      </c>
      <c r="N58" s="24">
        <f>IF(OR(L58="",M58=""),"",L58+M58)</f>
        <v/>
      </c>
      <c r="O58" s="24" t="n">
        <v>414</v>
      </c>
      <c r="P58" s="28" t="n">
        <v>1</v>
      </c>
      <c r="Q58" s="25" t="inlineStr">
        <is>
          <t>関西</t>
        </is>
      </c>
      <c r="R58" s="25" t="inlineStr">
        <is>
          <t>高野友和</t>
        </is>
      </c>
      <c r="S58" s="29" t="inlineStr"/>
      <c r="T58" s="24" t="n">
        <v>151</v>
      </c>
      <c r="U58" s="24" t="n">
        <v>168</v>
      </c>
      <c r="V58" s="24" t="n">
        <v>20</v>
      </c>
      <c r="W58" s="29" t="inlineStr">
        <is>
          <t>牡</t>
        </is>
      </c>
    </row>
    <row r="59" ht="15" customHeight="1" s="19">
      <c r="A59" s="24" t="n">
        <v>58</v>
      </c>
      <c r="B59" s="24" t="inlineStr">
        <is>
          <t>●</t>
        </is>
      </c>
      <c r="C59" s="25" t="inlineStr">
        <is>
          <t>ククナの25</t>
        </is>
      </c>
      <c r="D59" s="25" t="inlineStr">
        <is>
          <t>エピファネイア</t>
        </is>
      </c>
      <c r="E59" s="25" t="inlineStr">
        <is>
          <t>キングカメハメハ</t>
        </is>
      </c>
      <c r="F59" s="25" t="inlineStr">
        <is>
          <t>メス</t>
        </is>
      </c>
      <c r="G59" s="25" t="inlineStr">
        <is>
          <t>栗</t>
        </is>
      </c>
      <c r="H59" s="26" t="n">
        <v>45773</v>
      </c>
      <c r="I59" s="25" t="inlineStr">
        <is>
          <t>ノーザンF</t>
        </is>
      </c>
      <c r="J59" s="27" t="n">
        <v>6000</v>
      </c>
      <c r="K59" s="27" t="n">
        <v>150000</v>
      </c>
      <c r="L59" s="24" t="n">
        <v>7</v>
      </c>
      <c r="M59" s="24" t="n">
        <v>1</v>
      </c>
      <c r="N59" s="24">
        <f>IF(OR(L59="",M59=""),"",L59+M59)</f>
        <v/>
      </c>
      <c r="O59" s="24" t="n">
        <v>414</v>
      </c>
      <c r="P59" s="28" t="n">
        <v>0</v>
      </c>
      <c r="Q59" s="25" t="inlineStr">
        <is>
          <t>関西</t>
        </is>
      </c>
      <c r="R59" s="25" t="inlineStr">
        <is>
          <t>四位洋文</t>
        </is>
      </c>
      <c r="S59" s="29" t="inlineStr"/>
      <c r="T59" s="24" t="n">
        <v>154.5</v>
      </c>
      <c r="U59" s="24" t="n">
        <v>172.5</v>
      </c>
      <c r="V59" s="24" t="n">
        <v>20.4</v>
      </c>
      <c r="W59" s="29" t="inlineStr"/>
    </row>
    <row r="60" ht="15" customHeight="1" s="19">
      <c r="A60" s="24" t="n">
        <v>59</v>
      </c>
      <c r="B60" s="24" t="n"/>
      <c r="C60" s="25" t="inlineStr">
        <is>
          <t>コンセッションズの25</t>
        </is>
      </c>
      <c r="D60" s="25" t="inlineStr">
        <is>
          <t>コントレイル</t>
        </is>
      </c>
      <c r="E60" s="25" t="inlineStr">
        <is>
          <t>ダイワメジャー</t>
        </is>
      </c>
      <c r="F60" s="25" t="inlineStr">
        <is>
          <t>牡</t>
        </is>
      </c>
      <c r="G60" s="25" t="inlineStr">
        <is>
          <t>黒鹿</t>
        </is>
      </c>
      <c r="H60" s="26" t="n">
        <v>45772</v>
      </c>
      <c r="I60" s="25" t="inlineStr">
        <is>
          <t>チャンピオンズF*</t>
        </is>
      </c>
      <c r="J60" s="27" t="n">
        <v>3600</v>
      </c>
      <c r="K60" s="27" t="n">
        <v>90000</v>
      </c>
      <c r="L60" s="24" t="n">
        <v>10</v>
      </c>
      <c r="M60" s="24" t="n">
        <v>3</v>
      </c>
      <c r="N60" s="24">
        <f>IF(OR(L60="",M60=""),"",L60+M60)</f>
        <v/>
      </c>
      <c r="O60" s="24" t="n">
        <v>426</v>
      </c>
      <c r="P60" s="28" t="n">
        <v>3</v>
      </c>
      <c r="Q60" s="25" t="inlineStr">
        <is>
          <t>関西</t>
        </is>
      </c>
      <c r="R60" s="25" t="inlineStr">
        <is>
          <t>寺島良</t>
        </is>
      </c>
      <c r="S60" s="29" t="inlineStr"/>
      <c r="T60" s="24" t="n">
        <v>151</v>
      </c>
      <c r="U60" s="24" t="n">
        <v>173.5</v>
      </c>
      <c r="V60" s="24" t="n">
        <v>20.3</v>
      </c>
      <c r="W60" s="29" t="inlineStr">
        <is>
          <t>牡・価格帯・420kg+</t>
        </is>
      </c>
    </row>
    <row r="61" ht="15" customHeight="1" s="19">
      <c r="A61" s="24" t="n">
        <v>60</v>
      </c>
      <c r="B61" s="24" t="n"/>
      <c r="C61" s="25" t="inlineStr">
        <is>
          <t>マラコスタムブラダの25</t>
        </is>
      </c>
      <c r="D61" s="25" t="inlineStr">
        <is>
          <t>スワーヴリチャード</t>
        </is>
      </c>
      <c r="E61" s="24" t="inlineStr">
        <is>
          <t>Lizard Island</t>
        </is>
      </c>
      <c r="F61" s="25" t="inlineStr">
        <is>
          <t>メス</t>
        </is>
      </c>
      <c r="G61" s="25" t="inlineStr">
        <is>
          <t>鹿</t>
        </is>
      </c>
      <c r="H61" s="26" t="n">
        <v>45771</v>
      </c>
      <c r="I61" s="25" t="inlineStr">
        <is>
          <t>ノーザンF</t>
        </is>
      </c>
      <c r="J61" s="27" t="n">
        <v>6000</v>
      </c>
      <c r="K61" s="27" t="n">
        <v>150000</v>
      </c>
      <c r="L61" s="24" t="n">
        <v>15</v>
      </c>
      <c r="M61" s="24" t="n">
        <v>8</v>
      </c>
      <c r="N61" s="24">
        <f>IF(OR(L61="",M61=""),"",L61+M61)</f>
        <v/>
      </c>
      <c r="O61" s="24" t="n">
        <v>421</v>
      </c>
      <c r="P61" s="28" t="n">
        <v>1</v>
      </c>
      <c r="Q61" s="25" t="inlineStr">
        <is>
          <t>関西</t>
        </is>
      </c>
      <c r="R61" s="25" t="inlineStr">
        <is>
          <t>池添学</t>
        </is>
      </c>
      <c r="S61" s="29" t="inlineStr">
        <is>
          <t>◎</t>
        </is>
      </c>
      <c r="T61" s="24" t="n">
        <v>155.5</v>
      </c>
      <c r="U61" s="24" t="n">
        <v>174.5</v>
      </c>
      <c r="V61" s="24" t="n">
        <v>20.2</v>
      </c>
      <c r="W61" s="29" t="inlineStr">
        <is>
          <t>420kg+</t>
        </is>
      </c>
    </row>
    <row r="62" ht="15" customHeight="1" s="19">
      <c r="A62" s="24" t="n">
        <v>61</v>
      </c>
      <c r="B62" s="24" t="n"/>
      <c r="C62" s="25" t="inlineStr">
        <is>
          <t>エクシードリミッツの25</t>
        </is>
      </c>
      <c r="D62" s="25" t="inlineStr">
        <is>
          <t>ロードカナロア</t>
        </is>
      </c>
      <c r="E62" s="24" t="inlineStr">
        <is>
          <t>Exceed And Excel</t>
        </is>
      </c>
      <c r="F62" s="25" t="inlineStr">
        <is>
          <t>メス</t>
        </is>
      </c>
      <c r="G62" s="25" t="inlineStr">
        <is>
          <t>鹿</t>
        </is>
      </c>
      <c r="H62" s="26" t="n">
        <v>45719</v>
      </c>
      <c r="I62" s="25" t="inlineStr">
        <is>
          <t>ノーザンF</t>
        </is>
      </c>
      <c r="J62" s="27" t="n">
        <v>4600</v>
      </c>
      <c r="K62" s="27" t="n">
        <v>115000</v>
      </c>
      <c r="L62" s="24" t="n">
        <v>13</v>
      </c>
      <c r="M62" s="24" t="n">
        <v>7</v>
      </c>
      <c r="N62" s="24">
        <f>IF(OR(L62="",M62=""),"",L62+M62)</f>
        <v/>
      </c>
      <c r="O62" s="24" t="n">
        <v>446</v>
      </c>
      <c r="P62" s="28" t="n">
        <v>1</v>
      </c>
      <c r="Q62" s="25" t="inlineStr">
        <is>
          <t>関西</t>
        </is>
      </c>
      <c r="R62" s="25" t="inlineStr">
        <is>
          <t>池添学</t>
        </is>
      </c>
      <c r="S62" s="29" t="inlineStr">
        <is>
          <t>◎</t>
        </is>
      </c>
      <c r="T62" s="24" t="n">
        <v>154</v>
      </c>
      <c r="U62" s="24" t="n">
        <v>179</v>
      </c>
      <c r="V62" s="24" t="n">
        <v>19.5</v>
      </c>
      <c r="W62" s="29" t="inlineStr">
        <is>
          <t>420kg+</t>
        </is>
      </c>
    </row>
    <row r="63" ht="15" customHeight="1" s="19">
      <c r="A63" s="24" t="n">
        <v>62</v>
      </c>
      <c r="B63" s="24" t="n"/>
      <c r="C63" s="25" t="inlineStr">
        <is>
          <t>ドナウエレンの25</t>
        </is>
      </c>
      <c r="D63" s="25" t="inlineStr">
        <is>
          <t>サートゥルナーリア</t>
        </is>
      </c>
      <c r="E63" s="25" t="inlineStr">
        <is>
          <t>モーリス</t>
        </is>
      </c>
      <c r="F63" s="25" t="inlineStr">
        <is>
          <t>牡</t>
        </is>
      </c>
      <c r="G63" s="25" t="inlineStr">
        <is>
          <t>鹿</t>
        </is>
      </c>
      <c r="H63" s="26" t="n">
        <v>45694</v>
      </c>
      <c r="I63" s="25" t="inlineStr">
        <is>
          <t>ノーザンF</t>
        </is>
      </c>
      <c r="J63" s="27" t="n">
        <v>5000</v>
      </c>
      <c r="K63" s="27" t="n">
        <v>125000</v>
      </c>
      <c r="L63" s="24" t="n">
        <v>7</v>
      </c>
      <c r="M63" s="24" t="n">
        <v>1</v>
      </c>
      <c r="N63" s="24">
        <f>IF(OR(L63="",M63=""),"",L63+M63)</f>
        <v/>
      </c>
      <c r="O63" s="24" t="n">
        <v>457</v>
      </c>
      <c r="P63" s="28" t="n">
        <v>2</v>
      </c>
      <c r="Q63" s="25" t="inlineStr">
        <is>
          <t>関西</t>
        </is>
      </c>
      <c r="R63" s="25" t="inlineStr">
        <is>
          <t>池江泰寿</t>
        </is>
      </c>
      <c r="S63" s="29" t="inlineStr">
        <is>
          <t>△</t>
        </is>
      </c>
      <c r="T63" s="24" t="n">
        <v>151</v>
      </c>
      <c r="U63" s="24" t="n">
        <v>178.5</v>
      </c>
      <c r="V63" s="24" t="n">
        <v>21</v>
      </c>
      <c r="W63" s="29" t="inlineStr">
        <is>
          <t>牡・420kg+</t>
        </is>
      </c>
    </row>
    <row r="64" ht="15" customHeight="1" s="19">
      <c r="A64" s="24" t="n">
        <v>63</v>
      </c>
      <c r="B64" s="24" t="n"/>
      <c r="C64" s="25" t="inlineStr">
        <is>
          <t>イリュミナンスの25</t>
        </is>
      </c>
      <c r="D64" s="25" t="inlineStr">
        <is>
          <t>サートゥルナーリア</t>
        </is>
      </c>
      <c r="E64" s="25" t="inlineStr">
        <is>
          <t>マンハッタンカフェ</t>
        </is>
      </c>
      <c r="F64" s="25" t="inlineStr">
        <is>
          <t>メス</t>
        </is>
      </c>
      <c r="G64" s="25" t="inlineStr">
        <is>
          <t>黒鹿</t>
        </is>
      </c>
      <c r="H64" s="26" t="n">
        <v>45708</v>
      </c>
      <c r="I64" s="25" t="inlineStr">
        <is>
          <t>白老F</t>
        </is>
      </c>
      <c r="J64" s="27" t="n">
        <v>3200</v>
      </c>
      <c r="K64" s="27" t="n">
        <v>80000</v>
      </c>
      <c r="L64" s="24" t="n">
        <v>15</v>
      </c>
      <c r="M64" s="24" t="n">
        <v>4</v>
      </c>
      <c r="N64" s="24">
        <f>IF(OR(L64="",M64=""),"",L64+M64)</f>
        <v/>
      </c>
      <c r="O64" s="24" t="n">
        <v>410</v>
      </c>
      <c r="P64" s="28" t="n">
        <v>1</v>
      </c>
      <c r="Q64" s="25" t="inlineStr">
        <is>
          <t>関西</t>
        </is>
      </c>
      <c r="R64" s="25" t="inlineStr">
        <is>
          <t>松永幹夫</t>
        </is>
      </c>
      <c r="S64" s="29" t="inlineStr">
        <is>
          <t>○</t>
        </is>
      </c>
      <c r="T64" s="24" t="n">
        <v>155.5</v>
      </c>
      <c r="U64" s="24" t="n">
        <v>170</v>
      </c>
      <c r="V64" s="24" t="n">
        <v>19.5</v>
      </c>
      <c r="W64" s="29" t="inlineStr">
        <is>
          <t>価格帯</t>
        </is>
      </c>
    </row>
    <row r="65" ht="15" customHeight="1" s="19">
      <c r="A65" s="24" t="n">
        <v>64</v>
      </c>
      <c r="B65" s="24" t="inlineStr">
        <is>
          <t>●</t>
        </is>
      </c>
      <c r="C65" s="25" t="inlineStr">
        <is>
          <t>アヴェンチュラの25</t>
        </is>
      </c>
      <c r="D65" s="25" t="inlineStr">
        <is>
          <t>サートゥルナーリア</t>
        </is>
      </c>
      <c r="E65" s="25" t="inlineStr">
        <is>
          <t>ジャングルポケット</t>
        </is>
      </c>
      <c r="F65" s="25" t="inlineStr">
        <is>
          <t>メス</t>
        </is>
      </c>
      <c r="G65" s="25" t="inlineStr">
        <is>
          <t>鹿</t>
        </is>
      </c>
      <c r="H65" s="26" t="n">
        <v>45786</v>
      </c>
      <c r="I65" s="25" t="inlineStr">
        <is>
          <t>ノーザンF</t>
        </is>
      </c>
      <c r="J65" s="27" t="n">
        <v>4000</v>
      </c>
      <c r="K65" s="27" t="n">
        <v>100000</v>
      </c>
      <c r="L65" s="24" t="n">
        <v>17</v>
      </c>
      <c r="M65" s="24" t="n">
        <v>9</v>
      </c>
      <c r="N65" s="24">
        <f>IF(OR(L65="",M65=""),"",L65+M65)</f>
        <v/>
      </c>
      <c r="O65" s="24" t="n">
        <v>413</v>
      </c>
      <c r="P65" s="28" t="n">
        <v>0</v>
      </c>
      <c r="Q65" s="25" t="inlineStr">
        <is>
          <t>関西</t>
        </is>
      </c>
      <c r="R65" s="25" t="inlineStr">
        <is>
          <t>武英智</t>
        </is>
      </c>
      <c r="S65" s="29" t="inlineStr"/>
      <c r="T65" s="24" t="n">
        <v>153</v>
      </c>
      <c r="U65" s="24" t="n">
        <v>173.5</v>
      </c>
      <c r="V65" s="24" t="n">
        <v>19.8</v>
      </c>
      <c r="W65" s="29" t="inlineStr"/>
    </row>
    <row r="66" ht="15" customHeight="1" s="19">
      <c r="A66" s="24" t="n">
        <v>65</v>
      </c>
      <c r="B66" s="24" t="inlineStr">
        <is>
          <t>●</t>
        </is>
      </c>
      <c r="C66" s="25" t="inlineStr">
        <is>
          <t>ブルーメンクローネの25</t>
        </is>
      </c>
      <c r="D66" s="25" t="inlineStr">
        <is>
          <t>シュネルマイスター</t>
        </is>
      </c>
      <c r="E66" s="25" t="inlineStr">
        <is>
          <t>キングカメハメハ</t>
        </is>
      </c>
      <c r="F66" s="25" t="inlineStr">
        <is>
          <t>牡</t>
        </is>
      </c>
      <c r="G66" s="25" t="inlineStr">
        <is>
          <t>鹿</t>
        </is>
      </c>
      <c r="H66" s="26" t="n">
        <v>45699</v>
      </c>
      <c r="I66" s="25" t="inlineStr">
        <is>
          <t>ノーザンF</t>
        </is>
      </c>
      <c r="J66" s="27" t="n">
        <v>5000</v>
      </c>
      <c r="K66" s="27" t="n">
        <v>125000</v>
      </c>
      <c r="L66" s="24" t="n">
        <v>10</v>
      </c>
      <c r="M66" s="24" t="n">
        <v>4</v>
      </c>
      <c r="N66" s="24">
        <f>IF(OR(L66="",M66=""),"",L66+M66)</f>
        <v/>
      </c>
      <c r="O66" s="24" t="n">
        <v>506</v>
      </c>
      <c r="P66" s="28" t="n">
        <v>2</v>
      </c>
      <c r="Q66" s="25" t="inlineStr">
        <is>
          <t>関西</t>
        </is>
      </c>
      <c r="R66" s="25" t="inlineStr">
        <is>
          <t>小林真也</t>
        </is>
      </c>
      <c r="S66" s="29" t="inlineStr"/>
      <c r="T66" s="24" t="n">
        <v>155.5</v>
      </c>
      <c r="U66" s="24" t="n">
        <v>181.5</v>
      </c>
      <c r="V66" s="24" t="n">
        <v>20.5</v>
      </c>
      <c r="W66" s="29" t="inlineStr">
        <is>
          <t>牡・420kg+</t>
        </is>
      </c>
    </row>
    <row r="67" ht="15" customHeight="1" s="19">
      <c r="A67" s="24" t="n">
        <v>66</v>
      </c>
      <c r="B67" s="24" t="n"/>
      <c r="C67" s="25" t="inlineStr">
        <is>
          <t>ブリンクの25</t>
        </is>
      </c>
      <c r="D67" s="25" t="inlineStr">
        <is>
          <t>シュネルマイスター</t>
        </is>
      </c>
      <c r="E67" s="25" t="inlineStr">
        <is>
          <t>エピファネイア</t>
        </is>
      </c>
      <c r="F67" s="25" t="inlineStr">
        <is>
          <t>メス</t>
        </is>
      </c>
      <c r="G67" s="25" t="inlineStr">
        <is>
          <t>鹿</t>
        </is>
      </c>
      <c r="H67" s="26" t="n">
        <v>45722</v>
      </c>
      <c r="I67" s="25" t="inlineStr">
        <is>
          <t>ノーザンF</t>
        </is>
      </c>
      <c r="J67" s="27" t="n">
        <v>3000</v>
      </c>
      <c r="K67" s="27" t="n">
        <v>75000</v>
      </c>
      <c r="L67" s="24" t="n">
        <v>7</v>
      </c>
      <c r="M67" s="24" t="n">
        <v>1</v>
      </c>
      <c r="N67" s="24">
        <f>IF(OR(L67="",M67=""),"",L67+M67)</f>
        <v/>
      </c>
      <c r="O67" s="24" t="n">
        <v>447</v>
      </c>
      <c r="P67" s="28" t="n">
        <v>2</v>
      </c>
      <c r="Q67" s="25" t="inlineStr">
        <is>
          <t>関西</t>
        </is>
      </c>
      <c r="R67" s="25" t="inlineStr">
        <is>
          <t>坂口智康</t>
        </is>
      </c>
      <c r="S67" s="29" t="inlineStr"/>
      <c r="T67" s="24" t="n">
        <v>153</v>
      </c>
      <c r="U67" s="24" t="n">
        <v>176</v>
      </c>
      <c r="V67" s="24" t="n">
        <v>19.5</v>
      </c>
      <c r="W67" s="29" t="inlineStr">
        <is>
          <t>価格帯・420kg+</t>
        </is>
      </c>
    </row>
    <row r="68" ht="15" customHeight="1" s="19">
      <c r="A68" s="24" t="n">
        <v>67</v>
      </c>
      <c r="B68" s="24" t="inlineStr">
        <is>
          <t>●</t>
        </is>
      </c>
      <c r="C68" s="25" t="inlineStr">
        <is>
          <t>メサルティムの25</t>
        </is>
      </c>
      <c r="D68" s="25" t="inlineStr">
        <is>
          <t>アドマイヤマーズ</t>
        </is>
      </c>
      <c r="E68" s="25" t="inlineStr">
        <is>
          <t>ディープブリランテ</t>
        </is>
      </c>
      <c r="F68" s="25" t="inlineStr">
        <is>
          <t>牡</t>
        </is>
      </c>
      <c r="G68" s="25" t="inlineStr">
        <is>
          <t>鹿</t>
        </is>
      </c>
      <c r="H68" s="26" t="n">
        <v>45721</v>
      </c>
      <c r="I68" s="25" t="inlineStr">
        <is>
          <t>ノーザンF</t>
        </is>
      </c>
      <c r="J68" s="27" t="n">
        <v>4000</v>
      </c>
      <c r="K68" s="27" t="n">
        <v>100000</v>
      </c>
      <c r="L68" s="24" t="n">
        <v>10</v>
      </c>
      <c r="M68" s="24" t="n">
        <v>3</v>
      </c>
      <c r="N68" s="24">
        <f>IF(OR(L68="",M68=""),"",L68+M68)</f>
        <v/>
      </c>
      <c r="O68" s="24" t="n">
        <v>447</v>
      </c>
      <c r="P68" s="28" t="n">
        <v>2</v>
      </c>
      <c r="Q68" s="25" t="inlineStr">
        <is>
          <t>関西</t>
        </is>
      </c>
      <c r="R68" s="25" t="inlineStr">
        <is>
          <t>杉山佳明</t>
        </is>
      </c>
      <c r="S68" s="29" t="inlineStr"/>
      <c r="T68" s="24" t="n">
        <v>158</v>
      </c>
      <c r="U68" s="24" t="n">
        <v>178</v>
      </c>
      <c r="V68" s="24" t="n">
        <v>20.5</v>
      </c>
      <c r="W68" s="29" t="inlineStr">
        <is>
          <t>牡・420kg+</t>
        </is>
      </c>
    </row>
    <row r="69" ht="15" customHeight="1" s="19">
      <c r="A69" s="24" t="n">
        <v>68</v>
      </c>
      <c r="B69" s="24" t="inlineStr">
        <is>
          <t>●</t>
        </is>
      </c>
      <c r="C69" s="25" t="inlineStr">
        <is>
          <t>コンダクトレスの25</t>
        </is>
      </c>
      <c r="D69" s="25" t="inlineStr">
        <is>
          <t>アドマイヤマーズ</t>
        </is>
      </c>
      <c r="E69" s="25" t="inlineStr">
        <is>
          <t>ホワイトマズル</t>
        </is>
      </c>
      <c r="F69" s="25" t="inlineStr">
        <is>
          <t>メス</t>
        </is>
      </c>
      <c r="G69" s="25" t="inlineStr">
        <is>
          <t>鹿</t>
        </is>
      </c>
      <c r="H69" s="26" t="n">
        <v>45700</v>
      </c>
      <c r="I69" s="25" t="inlineStr">
        <is>
          <t>ノーザンF</t>
        </is>
      </c>
      <c r="J69" s="27" t="n">
        <v>3000</v>
      </c>
      <c r="K69" s="27" t="n">
        <v>75000</v>
      </c>
      <c r="L69" s="24" t="n">
        <v>10</v>
      </c>
      <c r="M69" s="24" t="n">
        <v>3</v>
      </c>
      <c r="N69" s="24">
        <f>IF(OR(L69="",M69=""),"",L69+M69)</f>
        <v/>
      </c>
      <c r="O69" s="24" t="n">
        <v>447</v>
      </c>
      <c r="P69" s="28" t="n">
        <v>2</v>
      </c>
      <c r="Q69" s="25" t="inlineStr">
        <is>
          <t>関西</t>
        </is>
      </c>
      <c r="R69" s="25" t="inlineStr">
        <is>
          <t>橋口慎介</t>
        </is>
      </c>
      <c r="S69" s="29" t="inlineStr"/>
      <c r="T69" s="24" t="n">
        <v>153.5</v>
      </c>
      <c r="U69" s="24" t="n">
        <v>174</v>
      </c>
      <c r="V69" s="24" t="n">
        <v>19.3</v>
      </c>
      <c r="W69" s="29" t="inlineStr">
        <is>
          <t>価格帯・420kg+</t>
        </is>
      </c>
    </row>
    <row r="70" ht="15" customHeight="1" s="19">
      <c r="A70" s="24" t="n">
        <v>69</v>
      </c>
      <c r="B70" s="24" t="inlineStr">
        <is>
          <t>●</t>
        </is>
      </c>
      <c r="C70" s="25" t="inlineStr">
        <is>
          <t>ラクスバラディーの25</t>
        </is>
      </c>
      <c r="D70" s="25" t="inlineStr">
        <is>
          <t>アドマイヤマーズ</t>
        </is>
      </c>
      <c r="E70" s="25" t="inlineStr">
        <is>
          <t>ドゥラメンテ</t>
        </is>
      </c>
      <c r="F70" s="25" t="inlineStr">
        <is>
          <t>メス</t>
        </is>
      </c>
      <c r="G70" s="25" t="inlineStr">
        <is>
          <t>栗</t>
        </is>
      </c>
      <c r="H70" s="26" t="n">
        <v>45702</v>
      </c>
      <c r="I70" s="25" t="inlineStr">
        <is>
          <t>ノーザンF</t>
        </is>
      </c>
      <c r="J70" s="27" t="n">
        <v>3200</v>
      </c>
      <c r="K70" s="27" t="n">
        <v>80000</v>
      </c>
      <c r="L70" s="24" t="n">
        <v>6</v>
      </c>
      <c r="M70" s="24" t="n">
        <v>1</v>
      </c>
      <c r="N70" s="24">
        <f>IF(OR(L70="",M70=""),"",L70+M70)</f>
        <v/>
      </c>
      <c r="O70" s="24" t="n">
        <v>447</v>
      </c>
      <c r="P70" s="28" t="n">
        <v>2</v>
      </c>
      <c r="Q70" s="25" t="inlineStr">
        <is>
          <t>関西</t>
        </is>
      </c>
      <c r="R70" s="25" t="inlineStr">
        <is>
          <t>長谷川浩大</t>
        </is>
      </c>
      <c r="S70" s="29" t="inlineStr"/>
      <c r="T70" s="24" t="n">
        <v>155</v>
      </c>
      <c r="U70" s="24" t="n">
        <v>179</v>
      </c>
      <c r="V70" s="24" t="n">
        <v>19.8</v>
      </c>
      <c r="W70" s="29" t="inlineStr">
        <is>
          <t>価格帯・420kg+</t>
        </is>
      </c>
    </row>
    <row r="71" ht="15" customHeight="1" s="19">
      <c r="A71" s="24" t="n">
        <v>70</v>
      </c>
      <c r="B71" s="24" t="inlineStr">
        <is>
          <t>●</t>
        </is>
      </c>
      <c r="C71" s="25" t="inlineStr">
        <is>
          <t>フィニフティの25</t>
        </is>
      </c>
      <c r="D71" s="25" t="inlineStr">
        <is>
          <t>ナダル</t>
        </is>
      </c>
      <c r="E71" s="25" t="inlineStr">
        <is>
          <t>ディープインパクト</t>
        </is>
      </c>
      <c r="F71" s="25" t="inlineStr">
        <is>
          <t>メス</t>
        </is>
      </c>
      <c r="G71" s="25" t="inlineStr">
        <is>
          <t>鹿</t>
        </is>
      </c>
      <c r="H71" s="26" t="n">
        <v>45721</v>
      </c>
      <c r="I71" s="25" t="inlineStr">
        <is>
          <t>ノーザンF</t>
        </is>
      </c>
      <c r="J71" s="27" t="n">
        <v>4000</v>
      </c>
      <c r="K71" s="27" t="n">
        <v>100000</v>
      </c>
      <c r="L71" s="24" t="n">
        <v>10</v>
      </c>
      <c r="M71" s="24" t="n">
        <v>4</v>
      </c>
      <c r="N71" s="24">
        <f>IF(OR(L71="",M71=""),"",L71+M71)</f>
        <v/>
      </c>
      <c r="O71" s="24" t="n">
        <v>492</v>
      </c>
      <c r="P71" s="28" t="n">
        <v>1</v>
      </c>
      <c r="Q71" s="25" t="inlineStr">
        <is>
          <t>関西</t>
        </is>
      </c>
      <c r="R71" s="25" t="inlineStr">
        <is>
          <t>藤原英昭</t>
        </is>
      </c>
      <c r="S71" s="29" t="inlineStr">
        <is>
          <t>○</t>
        </is>
      </c>
      <c r="T71" s="24" t="n">
        <v>161</v>
      </c>
      <c r="U71" s="24" t="n">
        <v>186.5</v>
      </c>
      <c r="V71" s="24" t="n">
        <v>21.5</v>
      </c>
      <c r="W71" s="29" t="inlineStr">
        <is>
          <t>420kg+</t>
        </is>
      </c>
    </row>
    <row r="72" ht="15" customHeight="1" s="19">
      <c r="A72" s="24" t="n">
        <v>71</v>
      </c>
      <c r="B72" s="24" t="inlineStr">
        <is>
          <t>●</t>
        </is>
      </c>
      <c r="C72" s="25" t="inlineStr">
        <is>
          <t>リュラの25</t>
        </is>
      </c>
      <c r="D72" s="25" t="inlineStr">
        <is>
          <t>モーリス</t>
        </is>
      </c>
      <c r="E72" s="25" t="inlineStr">
        <is>
          <t>ステイゴールド</t>
        </is>
      </c>
      <c r="F72" s="25" t="inlineStr">
        <is>
          <t>牡</t>
        </is>
      </c>
      <c r="G72" s="25" t="inlineStr">
        <is>
          <t>青鹿</t>
        </is>
      </c>
      <c r="H72" s="26" t="n">
        <v>45763</v>
      </c>
      <c r="I72" s="25" t="inlineStr">
        <is>
          <t>ノーザンF</t>
        </is>
      </c>
      <c r="J72" s="27" t="n">
        <v>4000</v>
      </c>
      <c r="K72" s="27" t="n">
        <v>100000</v>
      </c>
      <c r="L72" s="24" t="n">
        <v>12</v>
      </c>
      <c r="M72" s="24" t="n">
        <v>7</v>
      </c>
      <c r="N72" s="24">
        <f>IF(OR(L72="",M72=""),"",L72+M72)</f>
        <v/>
      </c>
      <c r="O72" s="24" t="n">
        <v>458</v>
      </c>
      <c r="P72" s="28" t="n">
        <v>2</v>
      </c>
      <c r="Q72" s="25" t="inlineStr">
        <is>
          <t>関西</t>
        </is>
      </c>
      <c r="R72" s="25" t="inlineStr">
        <is>
          <t>佐藤悠太</t>
        </is>
      </c>
      <c r="S72" s="29" t="inlineStr"/>
      <c r="T72" s="24" t="n">
        <v>159.5</v>
      </c>
      <c r="U72" s="24" t="n">
        <v>179</v>
      </c>
      <c r="V72" s="24" t="n">
        <v>20.2</v>
      </c>
      <c r="W72" s="29" t="inlineStr">
        <is>
          <t>牡・420kg+</t>
        </is>
      </c>
    </row>
    <row r="73" ht="15" customHeight="1" s="19">
      <c r="A73" s="24" t="n">
        <v>72</v>
      </c>
      <c r="B73" s="24" t="inlineStr">
        <is>
          <t>●</t>
        </is>
      </c>
      <c r="C73" s="25" t="inlineStr">
        <is>
          <t>サンブルエミューズの25</t>
        </is>
      </c>
      <c r="D73" s="25" t="inlineStr">
        <is>
          <t>モーリス</t>
        </is>
      </c>
      <c r="E73" s="25" t="inlineStr">
        <is>
          <t>ダイワメジャー</t>
        </is>
      </c>
      <c r="F73" s="25" t="inlineStr">
        <is>
          <t>メス</t>
        </is>
      </c>
      <c r="G73" s="25" t="inlineStr">
        <is>
          <t>鹿</t>
        </is>
      </c>
      <c r="H73" s="26" t="n">
        <v>45686</v>
      </c>
      <c r="I73" s="25" t="inlineStr">
        <is>
          <t>ノーザンF</t>
        </is>
      </c>
      <c r="J73" s="27" t="n">
        <v>6000</v>
      </c>
      <c r="K73" s="27" t="n">
        <v>150000</v>
      </c>
      <c r="L73" s="24" t="n">
        <v>15</v>
      </c>
      <c r="M73" s="24" t="n">
        <v>7</v>
      </c>
      <c r="N73" s="24">
        <f>IF(OR(L73="",M73=""),"",L73+M73)</f>
        <v/>
      </c>
      <c r="O73" s="24" t="n">
        <v>454</v>
      </c>
      <c r="P73" s="28" t="n">
        <v>1</v>
      </c>
      <c r="Q73" s="25" t="inlineStr">
        <is>
          <t>関西</t>
        </is>
      </c>
      <c r="R73" s="25" t="inlineStr">
        <is>
          <t>高野友和</t>
        </is>
      </c>
      <c r="S73" s="29" t="inlineStr"/>
      <c r="T73" s="24" t="n">
        <v>154</v>
      </c>
      <c r="U73" s="24" t="n">
        <v>175</v>
      </c>
      <c r="V73" s="24" t="n">
        <v>18.5</v>
      </c>
      <c r="W73" s="29" t="inlineStr">
        <is>
          <t>420kg+</t>
        </is>
      </c>
    </row>
    <row r="74" ht="15" customHeight="1" s="19">
      <c r="A74" s="24" t="n">
        <v>73</v>
      </c>
      <c r="B74" s="24" t="inlineStr">
        <is>
          <t>●</t>
        </is>
      </c>
      <c r="C74" s="25" t="inlineStr">
        <is>
          <t>ヴィルデローゼの25</t>
        </is>
      </c>
      <c r="D74" s="25" t="inlineStr">
        <is>
          <t>ニューイヤーズデイ</t>
        </is>
      </c>
      <c r="E74" s="25" t="inlineStr">
        <is>
          <t>エンパイアメーカー</t>
        </is>
      </c>
      <c r="F74" s="25" t="inlineStr">
        <is>
          <t>牡</t>
        </is>
      </c>
      <c r="G74" s="25" t="inlineStr">
        <is>
          <t>黒鹿</t>
        </is>
      </c>
      <c r="H74" s="26" t="n">
        <v>45759</v>
      </c>
      <c r="I74" s="25" t="inlineStr">
        <is>
          <t>ノーザンF</t>
        </is>
      </c>
      <c r="J74" s="27" t="n">
        <v>4000</v>
      </c>
      <c r="K74" s="27" t="n">
        <v>100000</v>
      </c>
      <c r="L74" s="24" t="n">
        <v>11</v>
      </c>
      <c r="M74" s="24" t="n">
        <v>3</v>
      </c>
      <c r="N74" s="24">
        <f>IF(OR(L74="",M74=""),"",L74+M74)</f>
        <v/>
      </c>
      <c r="O74" s="24" t="n">
        <v>448</v>
      </c>
      <c r="P74" s="28" t="n">
        <v>2</v>
      </c>
      <c r="Q74" s="25" t="inlineStr">
        <is>
          <t>関西</t>
        </is>
      </c>
      <c r="R74" s="25" t="inlineStr">
        <is>
          <t>松永幹夫</t>
        </is>
      </c>
      <c r="S74" s="29" t="inlineStr">
        <is>
          <t>○</t>
        </is>
      </c>
      <c r="T74" s="24" t="n">
        <v>151</v>
      </c>
      <c r="U74" s="24" t="n">
        <v>175</v>
      </c>
      <c r="V74" s="24" t="n">
        <v>20.2</v>
      </c>
      <c r="W74" s="29" t="inlineStr">
        <is>
          <t>牡・420kg+</t>
        </is>
      </c>
    </row>
    <row r="75" ht="15" customHeight="1" s="19">
      <c r="A75" s="24" t="n">
        <v>74</v>
      </c>
      <c r="B75" s="24" t="inlineStr">
        <is>
          <t>●</t>
        </is>
      </c>
      <c r="C75" s="25" t="inlineStr">
        <is>
          <t>ダイアナブライトの25</t>
        </is>
      </c>
      <c r="D75" s="25" t="inlineStr">
        <is>
          <t>ニューイヤーズデイ</t>
        </is>
      </c>
      <c r="E75" s="25" t="inlineStr">
        <is>
          <t>ディープインパクト</t>
        </is>
      </c>
      <c r="F75" s="25" t="inlineStr">
        <is>
          <t>メス</t>
        </is>
      </c>
      <c r="G75" s="25" t="inlineStr">
        <is>
          <t>青鹿</t>
        </is>
      </c>
      <c r="H75" s="26" t="n">
        <v>45702</v>
      </c>
      <c r="I75" s="25" t="inlineStr">
        <is>
          <t>ノーザンF</t>
        </is>
      </c>
      <c r="J75" s="27" t="n">
        <v>4000</v>
      </c>
      <c r="K75" s="27" t="n">
        <v>100000</v>
      </c>
      <c r="L75" s="24" t="n">
        <v>9</v>
      </c>
      <c r="M75" s="24" t="n">
        <v>3</v>
      </c>
      <c r="N75" s="24">
        <f>IF(OR(L75="",M75=""),"",L75+M75)</f>
        <v/>
      </c>
      <c r="O75" s="24" t="n">
        <v>440</v>
      </c>
      <c r="P75" s="28" t="n">
        <v>1</v>
      </c>
      <c r="Q75" s="25" t="inlineStr">
        <is>
          <t>関西</t>
        </is>
      </c>
      <c r="R75" s="25" t="inlineStr">
        <is>
          <t>石坂公一</t>
        </is>
      </c>
      <c r="S75" s="29" t="inlineStr"/>
      <c r="T75" s="24" t="n">
        <v>156.5</v>
      </c>
      <c r="U75" s="24" t="n">
        <v>178</v>
      </c>
      <c r="V75" s="24" t="n">
        <v>19.7</v>
      </c>
      <c r="W75" s="29" t="inlineStr">
        <is>
          <t>420kg+</t>
        </is>
      </c>
    </row>
    <row r="76" ht="15" customHeight="1" s="19">
      <c r="A76" s="24" t="n">
        <v>75</v>
      </c>
      <c r="B76" s="24" t="inlineStr">
        <is>
          <t>●</t>
        </is>
      </c>
      <c r="C76" s="25" t="inlineStr">
        <is>
          <t>クロワドフェールの25</t>
        </is>
      </c>
      <c r="D76" s="25" t="inlineStr">
        <is>
          <t>リアルスティール</t>
        </is>
      </c>
      <c r="E76" s="25" t="inlineStr">
        <is>
          <t>ハービンジャー</t>
        </is>
      </c>
      <c r="F76" s="25" t="inlineStr">
        <is>
          <t>牡</t>
        </is>
      </c>
      <c r="G76" s="25" t="inlineStr">
        <is>
          <t>鹿</t>
        </is>
      </c>
      <c r="H76" s="26" t="n">
        <v>45667</v>
      </c>
      <c r="I76" s="25" t="inlineStr">
        <is>
          <t>ノーザンF</t>
        </is>
      </c>
      <c r="J76" s="27" t="n">
        <v>4600</v>
      </c>
      <c r="K76" s="27" t="n">
        <v>115000</v>
      </c>
      <c r="L76" s="24" t="n">
        <v>8</v>
      </c>
      <c r="M76" s="24" t="n">
        <v>2</v>
      </c>
      <c r="N76" s="24">
        <f>IF(OR(L76="",M76=""),"",L76+M76)</f>
        <v/>
      </c>
      <c r="O76" s="24" t="n">
        <v>455</v>
      </c>
      <c r="P76" s="28" t="n">
        <v>2</v>
      </c>
      <c r="Q76" s="25" t="inlineStr">
        <is>
          <t>関西</t>
        </is>
      </c>
      <c r="R76" s="25" t="inlineStr">
        <is>
          <t>清水久詞</t>
        </is>
      </c>
      <c r="S76" s="29" t="inlineStr">
        <is>
          <t>○</t>
        </is>
      </c>
      <c r="T76" s="24" t="n">
        <v>155</v>
      </c>
      <c r="U76" s="24" t="n">
        <v>173</v>
      </c>
      <c r="V76" s="24" t="n">
        <v>20.4</v>
      </c>
      <c r="W76" s="29" t="inlineStr">
        <is>
          <t>牡・420kg+</t>
        </is>
      </c>
    </row>
    <row r="77" ht="15" customHeight="1" s="19">
      <c r="A77" s="24" t="n">
        <v>76</v>
      </c>
      <c r="B77" s="24" t="inlineStr">
        <is>
          <t>●</t>
        </is>
      </c>
      <c r="C77" s="25" t="inlineStr">
        <is>
          <t>ヴァルキュリアの25</t>
        </is>
      </c>
      <c r="D77" s="25" t="inlineStr">
        <is>
          <t>リアルスティール</t>
        </is>
      </c>
      <c r="E77" s="24" t="inlineStr">
        <is>
          <t>Tapit</t>
        </is>
      </c>
      <c r="F77" s="25" t="inlineStr">
        <is>
          <t>牡</t>
        </is>
      </c>
      <c r="G77" s="25" t="inlineStr">
        <is>
          <t>鹿</t>
        </is>
      </c>
      <c r="H77" s="26" t="n">
        <v>45717</v>
      </c>
      <c r="I77" s="25" t="inlineStr">
        <is>
          <t>ノーザンF</t>
        </is>
      </c>
      <c r="J77" s="27" t="n">
        <v>6000</v>
      </c>
      <c r="K77" s="27" t="n">
        <v>150000</v>
      </c>
      <c r="L77" s="24" t="n">
        <v>8</v>
      </c>
      <c r="M77" s="24" t="n">
        <v>2</v>
      </c>
      <c r="N77" s="24">
        <f>IF(OR(L77="",M77=""),"",L77+M77)</f>
        <v/>
      </c>
      <c r="O77" s="24" t="n">
        <v>458</v>
      </c>
      <c r="P77" s="28" t="n">
        <v>2</v>
      </c>
      <c r="Q77" s="25" t="inlineStr">
        <is>
          <t>関西</t>
        </is>
      </c>
      <c r="R77" s="25" t="inlineStr">
        <is>
          <t>高柳大輔</t>
        </is>
      </c>
      <c r="S77" s="29" t="inlineStr"/>
      <c r="T77" s="24" t="n">
        <v>157</v>
      </c>
      <c r="U77" s="24" t="n">
        <v>171.5</v>
      </c>
      <c r="V77" s="24" t="n">
        <v>21</v>
      </c>
      <c r="W77" s="29" t="inlineStr">
        <is>
          <t>牡・420kg+</t>
        </is>
      </c>
    </row>
    <row r="78" ht="15" customHeight="1" s="19">
      <c r="A78" s="24" t="n">
        <v>77</v>
      </c>
      <c r="B78" s="24" t="n"/>
      <c r="C78" s="25" t="inlineStr">
        <is>
          <t>スピードリッパーの25</t>
        </is>
      </c>
      <c r="D78" s="25" t="inlineStr">
        <is>
          <t>リアルスティール</t>
        </is>
      </c>
      <c r="E78" s="25" t="inlineStr">
        <is>
          <t>ファルブラヴ</t>
        </is>
      </c>
      <c r="F78" s="25" t="inlineStr">
        <is>
          <t>メス</t>
        </is>
      </c>
      <c r="G78" s="25" t="inlineStr">
        <is>
          <t>鹿</t>
        </is>
      </c>
      <c r="H78" s="26" t="n">
        <v>45736</v>
      </c>
      <c r="I78" s="25" t="inlineStr">
        <is>
          <t>ノーザンF</t>
        </is>
      </c>
      <c r="J78" s="27" t="n">
        <v>3600</v>
      </c>
      <c r="K78" s="27" t="n">
        <v>90000</v>
      </c>
      <c r="L78" s="24" t="n">
        <v>17</v>
      </c>
      <c r="M78" s="24" t="n">
        <v>9</v>
      </c>
      <c r="N78" s="24">
        <f>IF(OR(L78="",M78=""),"",L78+M78)</f>
        <v/>
      </c>
      <c r="O78" s="24" t="n">
        <v>430</v>
      </c>
      <c r="P78" s="28" t="n">
        <v>2</v>
      </c>
      <c r="Q78" s="25" t="inlineStr">
        <is>
          <t>関西</t>
        </is>
      </c>
      <c r="R78" s="25" t="inlineStr">
        <is>
          <t>辻野泰之</t>
        </is>
      </c>
      <c r="S78" s="29" t="inlineStr"/>
      <c r="T78" s="24" t="n">
        <v>156.5</v>
      </c>
      <c r="U78" s="24" t="n">
        <v>176</v>
      </c>
      <c r="V78" s="24" t="n">
        <v>20.1</v>
      </c>
      <c r="W78" s="29" t="inlineStr">
        <is>
          <t>価格帯・420kg+</t>
        </is>
      </c>
    </row>
    <row r="79" ht="15" customHeight="1" s="19">
      <c r="A79" s="24" t="n">
        <v>78</v>
      </c>
      <c r="B79" s="24" t="n"/>
      <c r="C79" s="25" t="inlineStr">
        <is>
          <t>キズナIIの25</t>
        </is>
      </c>
      <c r="D79" s="25" t="inlineStr">
        <is>
          <t>タイトルホルダー</t>
        </is>
      </c>
      <c r="E79" s="24" t="inlineStr">
        <is>
          <t>Hurricane Run</t>
        </is>
      </c>
      <c r="F79" s="25" t="inlineStr">
        <is>
          <t>メス</t>
        </is>
      </c>
      <c r="G79" s="25" t="inlineStr">
        <is>
          <t>鹿</t>
        </is>
      </c>
      <c r="H79" s="26" t="n">
        <v>45695</v>
      </c>
      <c r="I79" s="25" t="inlineStr">
        <is>
          <t>北洋牧場*</t>
        </is>
      </c>
      <c r="J79" s="27" t="n">
        <v>3200</v>
      </c>
      <c r="K79" s="27" t="n">
        <v>80000</v>
      </c>
      <c r="L79" s="24" t="n">
        <v>15</v>
      </c>
      <c r="M79" s="24" t="n">
        <v>8</v>
      </c>
      <c r="N79" s="24">
        <f>IF(OR(L79="",M79=""),"",L79+M79)</f>
        <v/>
      </c>
      <c r="O79" s="24" t="n">
        <v>449</v>
      </c>
      <c r="P79" s="28" t="n">
        <v>2</v>
      </c>
      <c r="Q79" s="25" t="inlineStr">
        <is>
          <t>関西</t>
        </is>
      </c>
      <c r="R79" s="25" t="inlineStr">
        <is>
          <t>上村洋行</t>
        </is>
      </c>
      <c r="S79" s="29" t="inlineStr"/>
      <c r="T79" s="24" t="n">
        <v>155.5</v>
      </c>
      <c r="U79" s="24" t="n">
        <v>177.5</v>
      </c>
      <c r="V79" s="24" t="n">
        <v>19.2</v>
      </c>
      <c r="W79" s="29" t="inlineStr">
        <is>
          <t>価格帯・420kg+</t>
        </is>
      </c>
    </row>
    <row r="80" ht="15" customHeight="1" s="19">
      <c r="A80" s="24" t="n">
        <v>79</v>
      </c>
      <c r="B80" s="24" t="n"/>
      <c r="C80" s="25" t="inlineStr">
        <is>
          <t>ベデザンジュの25</t>
        </is>
      </c>
      <c r="D80" s="25" t="inlineStr">
        <is>
          <t>ドレフォン</t>
        </is>
      </c>
      <c r="E80" s="25" t="inlineStr">
        <is>
          <t>エピファネイア</t>
        </is>
      </c>
      <c r="F80" s="25" t="inlineStr">
        <is>
          <t>牡</t>
        </is>
      </c>
      <c r="G80" s="25" t="inlineStr">
        <is>
          <t>鹿</t>
        </is>
      </c>
      <c r="H80" s="26" t="n">
        <v>45682</v>
      </c>
      <c r="I80" s="25" t="inlineStr">
        <is>
          <t>ノーザンF</t>
        </is>
      </c>
      <c r="J80" s="27" t="n">
        <v>4000</v>
      </c>
      <c r="K80" s="27" t="n">
        <v>100000</v>
      </c>
      <c r="L80" s="24" t="n">
        <v>8</v>
      </c>
      <c r="M80" s="24" t="n">
        <v>1</v>
      </c>
      <c r="N80" s="24">
        <f>IF(OR(L80="",M80=""),"",L80+M80)</f>
        <v/>
      </c>
      <c r="O80" s="24" t="n">
        <v>432</v>
      </c>
      <c r="P80" s="28" t="n">
        <v>2</v>
      </c>
      <c r="Q80" s="25" t="inlineStr">
        <is>
          <t>関西</t>
        </is>
      </c>
      <c r="R80" s="25" t="inlineStr">
        <is>
          <t>田中克典</t>
        </is>
      </c>
      <c r="S80" s="29" t="inlineStr"/>
      <c r="T80" s="24" t="n">
        <v>153</v>
      </c>
      <c r="U80" s="24" t="n">
        <v>167</v>
      </c>
      <c r="V80" s="24" t="n">
        <v>19.3</v>
      </c>
      <c r="W80" s="29" t="inlineStr">
        <is>
          <t>牡・420kg+</t>
        </is>
      </c>
    </row>
    <row r="81" ht="15" customHeight="1" s="19">
      <c r="A81" s="24" t="n">
        <v>80</v>
      </c>
      <c r="B81" s="24" t="inlineStr">
        <is>
          <t>●</t>
        </is>
      </c>
      <c r="C81" s="25" t="inlineStr">
        <is>
          <t>エリスライトの25</t>
        </is>
      </c>
      <c r="D81" s="25" t="inlineStr">
        <is>
          <t>ドレフォン</t>
        </is>
      </c>
      <c r="E81" s="25" t="inlineStr">
        <is>
          <t>ディープインパクト</t>
        </is>
      </c>
      <c r="F81" s="25" t="inlineStr">
        <is>
          <t>メス</t>
        </is>
      </c>
      <c r="G81" s="25" t="inlineStr">
        <is>
          <t>鹿</t>
        </is>
      </c>
      <c r="H81" s="26" t="n">
        <v>45755</v>
      </c>
      <c r="I81" s="25" t="inlineStr">
        <is>
          <t>ノーザンF</t>
        </is>
      </c>
      <c r="J81" s="27" t="n">
        <v>4000</v>
      </c>
      <c r="K81" s="27" t="n">
        <v>100000</v>
      </c>
      <c r="L81" s="24" t="n">
        <v>10</v>
      </c>
      <c r="M81" s="24" t="n">
        <v>4</v>
      </c>
      <c r="N81" s="24">
        <f>IF(OR(L81="",M81=""),"",L81+M81)</f>
        <v/>
      </c>
      <c r="O81" s="24" t="n">
        <v>403</v>
      </c>
      <c r="P81" s="28" t="n">
        <v>0</v>
      </c>
      <c r="Q81" s="25" t="inlineStr">
        <is>
          <t>関西</t>
        </is>
      </c>
      <c r="R81" s="25" t="inlineStr">
        <is>
          <t>藤岡健一</t>
        </is>
      </c>
      <c r="S81" s="29" t="inlineStr"/>
      <c r="T81" s="24" t="n">
        <v>151</v>
      </c>
      <c r="U81" s="24" t="n">
        <v>169</v>
      </c>
      <c r="V81" s="24" t="n">
        <v>19.6</v>
      </c>
      <c r="W81" s="29" t="inlineStr"/>
    </row>
    <row r="82" ht="15" customHeight="1" s="19">
      <c r="A82" s="24" t="n">
        <v>81</v>
      </c>
      <c r="B82" s="24" t="inlineStr">
        <is>
          <t>●</t>
        </is>
      </c>
      <c r="C82" s="25" t="inlineStr">
        <is>
          <t>クルークハイトの25</t>
        </is>
      </c>
      <c r="D82" s="25" t="inlineStr">
        <is>
          <t>ルヴァンスレーヴ</t>
        </is>
      </c>
      <c r="E82" s="25" t="inlineStr">
        <is>
          <t>クロフネ</t>
        </is>
      </c>
      <c r="F82" s="25" t="inlineStr">
        <is>
          <t>牡</t>
        </is>
      </c>
      <c r="G82" s="25" t="inlineStr">
        <is>
          <t>芦</t>
        </is>
      </c>
      <c r="H82" s="26" t="n">
        <v>45705</v>
      </c>
      <c r="I82" s="25" t="inlineStr">
        <is>
          <t>ノーザンF</t>
        </is>
      </c>
      <c r="J82" s="27" t="n">
        <v>5000</v>
      </c>
      <c r="K82" s="27" t="n">
        <v>125000</v>
      </c>
      <c r="L82" s="24" t="n">
        <v>11</v>
      </c>
      <c r="M82" s="24" t="n">
        <v>4</v>
      </c>
      <c r="N82" s="24">
        <f>IF(OR(L82="",M82=""),"",L82+M82)</f>
        <v/>
      </c>
      <c r="O82" s="24" t="n">
        <v>470</v>
      </c>
      <c r="P82" s="28" t="n">
        <v>2</v>
      </c>
      <c r="Q82" s="25" t="inlineStr">
        <is>
          <t>関西</t>
        </is>
      </c>
      <c r="R82" s="25" t="inlineStr">
        <is>
          <t>斉藤崇史</t>
        </is>
      </c>
      <c r="S82" s="29" t="inlineStr"/>
      <c r="T82" s="24" t="n">
        <v>157.5</v>
      </c>
      <c r="U82" s="24" t="n">
        <v>183.5</v>
      </c>
      <c r="V82" s="24" t="n">
        <v>20.6</v>
      </c>
      <c r="W82" s="29" t="inlineStr">
        <is>
          <t>牡・420kg+</t>
        </is>
      </c>
    </row>
    <row r="83" ht="15" customHeight="1" s="19">
      <c r="A83" s="24" t="n">
        <v>82</v>
      </c>
      <c r="B83" s="24" t="n"/>
      <c r="C83" s="25" t="inlineStr">
        <is>
          <t>チカレンヌの25</t>
        </is>
      </c>
      <c r="D83" s="25" t="inlineStr">
        <is>
          <t>ルヴァンスレーヴ</t>
        </is>
      </c>
      <c r="E83" s="24" t="inlineStr">
        <is>
          <t>Kingman</t>
        </is>
      </c>
      <c r="F83" s="25" t="inlineStr">
        <is>
          <t>メス</t>
        </is>
      </c>
      <c r="G83" s="25" t="inlineStr">
        <is>
          <t>栗</t>
        </is>
      </c>
      <c r="H83" s="26" t="n">
        <v>45671</v>
      </c>
      <c r="I83" s="25" t="inlineStr">
        <is>
          <t>チャンピオンズF*</t>
        </is>
      </c>
      <c r="J83" s="27" t="n">
        <v>1600</v>
      </c>
      <c r="K83" s="27" t="n">
        <v>40000</v>
      </c>
      <c r="L83" s="24" t="n">
        <v>6</v>
      </c>
      <c r="M83" s="24" t="n">
        <v>2</v>
      </c>
      <c r="N83" s="24">
        <f>IF(OR(L83="",M83=""),"",L83+M83)</f>
        <v/>
      </c>
      <c r="O83" s="24" t="n">
        <v>435</v>
      </c>
      <c r="P83" s="28" t="n">
        <v>1</v>
      </c>
      <c r="Q83" s="25" t="inlineStr">
        <is>
          <t>関西</t>
        </is>
      </c>
      <c r="R83" s="25" t="inlineStr">
        <is>
          <t>小椋研介</t>
        </is>
      </c>
      <c r="S83" s="29" t="inlineStr"/>
      <c r="T83" s="24" t="n">
        <v>157</v>
      </c>
      <c r="U83" s="24" t="n">
        <v>176.5</v>
      </c>
      <c r="V83" s="24" t="n">
        <v>18.3</v>
      </c>
      <c r="W83" s="29" t="inlineStr">
        <is>
          <t>420kg+</t>
        </is>
      </c>
    </row>
    <row r="84" ht="15" customHeight="1" s="19">
      <c r="A84" s="24" t="n">
        <v>83</v>
      </c>
      <c r="B84" s="24" t="inlineStr">
        <is>
          <t>●</t>
        </is>
      </c>
      <c r="C84" s="25" t="inlineStr">
        <is>
          <t>リラヴァティの25</t>
        </is>
      </c>
      <c r="D84" s="25" t="inlineStr">
        <is>
          <t>ウエストオーバー</t>
        </is>
      </c>
      <c r="E84" s="25" t="inlineStr">
        <is>
          <t>ゼンノロブロイ</t>
        </is>
      </c>
      <c r="F84" s="25" t="inlineStr">
        <is>
          <t>牡</t>
        </is>
      </c>
      <c r="G84" s="25" t="inlineStr">
        <is>
          <t>青鹿</t>
        </is>
      </c>
      <c r="H84" s="26" t="n">
        <v>45675</v>
      </c>
      <c r="I84" s="25" t="inlineStr">
        <is>
          <t>ノーザンF</t>
        </is>
      </c>
      <c r="J84" s="27" t="n">
        <v>8000</v>
      </c>
      <c r="K84" s="27" t="n">
        <v>200000</v>
      </c>
      <c r="L84" s="24" t="n">
        <v>14</v>
      </c>
      <c r="M84" s="24" t="n">
        <v>8</v>
      </c>
      <c r="N84" s="24">
        <f>IF(OR(L84="",M84=""),"",L84+M84)</f>
        <v/>
      </c>
      <c r="O84" s="24" t="n">
        <v>470</v>
      </c>
      <c r="P84" s="28" t="n">
        <v>2</v>
      </c>
      <c r="Q84" s="25" t="inlineStr">
        <is>
          <t>関西</t>
        </is>
      </c>
      <c r="R84" s="25" t="inlineStr">
        <is>
          <t>安田翔伍</t>
        </is>
      </c>
      <c r="S84" s="29" t="inlineStr">
        <is>
          <t>◎</t>
        </is>
      </c>
      <c r="T84" s="24" t="n">
        <v>157</v>
      </c>
      <c r="U84" s="24" t="n">
        <v>180</v>
      </c>
      <c r="V84" s="24" t="n">
        <v>21.3</v>
      </c>
      <c r="W84" s="29" t="inlineStr">
        <is>
          <t>牡・420kg+</t>
        </is>
      </c>
    </row>
    <row r="85" ht="15" customHeight="1" s="19">
      <c r="A85" s="24" t="n">
        <v>84</v>
      </c>
      <c r="B85" s="24" t="inlineStr">
        <is>
          <t>●</t>
        </is>
      </c>
      <c r="C85" s="25" t="inlineStr">
        <is>
          <t>ローズノーブルの25</t>
        </is>
      </c>
      <c r="D85" s="25" t="inlineStr">
        <is>
          <t>ピクシーナイト</t>
        </is>
      </c>
      <c r="E85" s="25" t="inlineStr">
        <is>
          <t>ディープインパクト</t>
        </is>
      </c>
      <c r="F85" s="25" t="inlineStr">
        <is>
          <t>牡</t>
        </is>
      </c>
      <c r="G85" s="25" t="inlineStr">
        <is>
          <t>青鹿</t>
        </is>
      </c>
      <c r="H85" s="26" t="n">
        <v>45763</v>
      </c>
      <c r="I85" s="25" t="inlineStr">
        <is>
          <t>ノーザンF</t>
        </is>
      </c>
      <c r="J85" s="27" t="n">
        <v>4600</v>
      </c>
      <c r="K85" s="27" t="n">
        <v>115000</v>
      </c>
      <c r="L85" s="24" t="n">
        <v>16</v>
      </c>
      <c r="M85" s="24" t="n">
        <v>9</v>
      </c>
      <c r="N85" s="24">
        <f>IF(OR(L85="",M85=""),"",L85+M85)</f>
        <v/>
      </c>
      <c r="O85" s="24" t="n">
        <v>429</v>
      </c>
      <c r="P85" s="28" t="n">
        <v>2</v>
      </c>
      <c r="Q85" s="25" t="inlineStr">
        <is>
          <t>関西</t>
        </is>
      </c>
      <c r="R85" s="25" t="inlineStr">
        <is>
          <t>杉山晴紀</t>
        </is>
      </c>
      <c r="S85" s="29" t="inlineStr">
        <is>
          <t>○</t>
        </is>
      </c>
      <c r="T85" s="24" t="n">
        <v>152.5</v>
      </c>
      <c r="U85" s="24" t="n">
        <v>170.5</v>
      </c>
      <c r="V85" s="24" t="n">
        <v>20</v>
      </c>
      <c r="W85" s="29" t="inlineStr">
        <is>
          <t>牡・420kg+</t>
        </is>
      </c>
    </row>
    <row r="86" ht="15" customHeight="1" s="19">
      <c r="A86" s="24" t="n">
        <v>85</v>
      </c>
      <c r="B86" s="24" t="inlineStr">
        <is>
          <t>●</t>
        </is>
      </c>
      <c r="C86" s="25" t="inlineStr">
        <is>
          <t>バウンスシャッセの25</t>
        </is>
      </c>
      <c r="D86" s="25" t="inlineStr">
        <is>
          <t>ルーラーシップ</t>
        </is>
      </c>
      <c r="E86" s="25" t="inlineStr">
        <is>
          <t>ゼンノロブロイ</t>
        </is>
      </c>
      <c r="F86" s="25" t="inlineStr">
        <is>
          <t>牡</t>
        </is>
      </c>
      <c r="G86" s="25" t="inlineStr">
        <is>
          <t>鹿</t>
        </is>
      </c>
      <c r="H86" s="26" t="n">
        <v>45786</v>
      </c>
      <c r="I86" s="25" t="inlineStr">
        <is>
          <t>ノーザンF</t>
        </is>
      </c>
      <c r="J86" s="27" t="n">
        <v>5000</v>
      </c>
      <c r="K86" s="27" t="n">
        <v>125000</v>
      </c>
      <c r="L86" s="24" t="n">
        <v>14</v>
      </c>
      <c r="M86" s="24" t="n">
        <v>8</v>
      </c>
      <c r="N86" s="24">
        <f>IF(OR(L86="",M86=""),"",L86+M86)</f>
        <v/>
      </c>
      <c r="O86" s="24" t="n">
        <v>442</v>
      </c>
      <c r="P86" s="28" t="n">
        <v>2</v>
      </c>
      <c r="Q86" s="25" t="inlineStr">
        <is>
          <t>関西</t>
        </is>
      </c>
      <c r="R86" s="25" t="inlineStr">
        <is>
          <t>吉岡辰弥</t>
        </is>
      </c>
      <c r="S86" s="29" t="inlineStr"/>
      <c r="T86" s="24" t="n">
        <v>151</v>
      </c>
      <c r="U86" s="24" t="n">
        <v>176</v>
      </c>
      <c r="V86" s="24" t="n">
        <v>20.4</v>
      </c>
      <c r="W86" s="29" t="inlineStr">
        <is>
          <t>牡・420kg+</t>
        </is>
      </c>
    </row>
    <row r="87" ht="15" customHeight="1" s="19">
      <c r="A87" s="24" t="n">
        <v>86</v>
      </c>
      <c r="B87" s="24" t="inlineStr">
        <is>
          <t>●</t>
        </is>
      </c>
      <c r="C87" s="25" t="inlineStr">
        <is>
          <t>ヴィータアレグリアの25</t>
        </is>
      </c>
      <c r="D87" s="25" t="inlineStr">
        <is>
          <t>カフェファラオ</t>
        </is>
      </c>
      <c r="E87" s="25" t="inlineStr">
        <is>
          <t>ネオユニヴァース</t>
        </is>
      </c>
      <c r="F87" s="25" t="inlineStr">
        <is>
          <t>メス</t>
        </is>
      </c>
      <c r="G87" s="25" t="inlineStr">
        <is>
          <t>栗</t>
        </is>
      </c>
      <c r="H87" s="26" t="n">
        <v>45734</v>
      </c>
      <c r="I87" s="25" t="inlineStr">
        <is>
          <t>ノーザンF</t>
        </is>
      </c>
      <c r="J87" s="27" t="n">
        <v>4000</v>
      </c>
      <c r="K87" s="27" t="n">
        <v>100000</v>
      </c>
      <c r="L87" s="24" t="n">
        <v>14</v>
      </c>
      <c r="M87" s="24" t="n">
        <v>8</v>
      </c>
      <c r="N87" s="24">
        <f>IF(OR(L87="",M87=""),"",L87+M87)</f>
        <v/>
      </c>
      <c r="O87" s="24" t="n">
        <v>436</v>
      </c>
      <c r="P87" s="28" t="n">
        <v>1</v>
      </c>
      <c r="Q87" s="25" t="inlineStr">
        <is>
          <t>関西</t>
        </is>
      </c>
      <c r="R87" s="25" t="inlineStr">
        <is>
          <t>高野友和</t>
        </is>
      </c>
      <c r="S87" s="29" t="inlineStr"/>
      <c r="T87" s="24" t="n">
        <v>155</v>
      </c>
      <c r="U87" s="24" t="n">
        <v>176.5</v>
      </c>
      <c r="V87" s="24" t="n">
        <v>19.5</v>
      </c>
      <c r="W87" s="29" t="inlineStr">
        <is>
          <t>420kg+</t>
        </is>
      </c>
    </row>
    <row r="88" ht="15" customHeight="1" s="19">
      <c r="A88" s="24" t="n">
        <v>87</v>
      </c>
      <c r="B88" s="24" t="inlineStr">
        <is>
          <t>●</t>
        </is>
      </c>
      <c r="C88" s="25" t="inlineStr">
        <is>
          <t>アドヴェントスの25</t>
        </is>
      </c>
      <c r="D88" s="25" t="inlineStr">
        <is>
          <t>グレナディアガーズ</t>
        </is>
      </c>
      <c r="E88" s="25" t="inlineStr">
        <is>
          <t>ジャングルポケット</t>
        </is>
      </c>
      <c r="F88" s="25" t="inlineStr">
        <is>
          <t>メス</t>
        </is>
      </c>
      <c r="G88" s="25" t="inlineStr">
        <is>
          <t>鹿</t>
        </is>
      </c>
      <c r="H88" s="26" t="n">
        <v>45708</v>
      </c>
      <c r="I88" s="25" t="inlineStr">
        <is>
          <t>ノーザンF</t>
        </is>
      </c>
      <c r="J88" s="27" t="n">
        <v>2400</v>
      </c>
      <c r="K88" s="27" t="n">
        <v>60000</v>
      </c>
      <c r="L88" s="24" t="n">
        <v>12</v>
      </c>
      <c r="M88" s="24" t="n">
        <v>6</v>
      </c>
      <c r="N88" s="24">
        <f>IF(OR(L88="",M88=""),"",L88+M88)</f>
        <v/>
      </c>
      <c r="O88" s="24" t="n">
        <v>429</v>
      </c>
      <c r="P88" s="28" t="n">
        <v>1</v>
      </c>
      <c r="Q88" s="25" t="inlineStr">
        <is>
          <t>関西</t>
        </is>
      </c>
      <c r="R88" s="25" t="inlineStr">
        <is>
          <t>小栗実</t>
        </is>
      </c>
      <c r="S88" s="29" t="inlineStr"/>
      <c r="T88" s="24" t="n">
        <v>152.5</v>
      </c>
      <c r="U88" s="24" t="n">
        <v>173</v>
      </c>
      <c r="V88" s="24" t="n">
        <v>19.5</v>
      </c>
      <c r="W88" s="29" t="inlineStr">
        <is>
          <t>420kg+</t>
        </is>
      </c>
    </row>
    <row r="89" ht="15" customHeight="1" s="19">
      <c r="A89" s="24" t="n">
        <v>88</v>
      </c>
      <c r="B89" s="24" t="inlineStr">
        <is>
          <t>●</t>
        </is>
      </c>
      <c r="C89" s="25" t="inlineStr">
        <is>
          <t>アーズローヴァーの25</t>
        </is>
      </c>
      <c r="D89" s="25" t="inlineStr">
        <is>
          <t>サトノアラジン</t>
        </is>
      </c>
      <c r="E89" s="25" t="inlineStr">
        <is>
          <t>キンシャサノキセキ</t>
        </is>
      </c>
      <c r="F89" s="25" t="inlineStr">
        <is>
          <t>牡</t>
        </is>
      </c>
      <c r="G89" s="25" t="inlineStr">
        <is>
          <t>鹿</t>
        </is>
      </c>
      <c r="H89" s="26" t="n">
        <v>45715</v>
      </c>
      <c r="I89" s="25" t="inlineStr">
        <is>
          <t>ノーザンF</t>
        </is>
      </c>
      <c r="J89" s="27" t="n">
        <v>2400</v>
      </c>
      <c r="K89" s="27" t="n">
        <v>60000</v>
      </c>
      <c r="L89" s="24" t="n">
        <v>9</v>
      </c>
      <c r="M89" s="24" t="n">
        <v>3</v>
      </c>
      <c r="N89" s="24">
        <f>IF(OR(L89="",M89=""),"",L89+M89)</f>
        <v/>
      </c>
      <c r="O89" s="24" t="n">
        <v>460</v>
      </c>
      <c r="P89" s="28" t="n">
        <v>2</v>
      </c>
      <c r="Q89" s="25" t="inlineStr">
        <is>
          <t>関西</t>
        </is>
      </c>
      <c r="R89" s="25" t="inlineStr">
        <is>
          <t>西村真幸</t>
        </is>
      </c>
      <c r="S89" s="29" t="inlineStr">
        <is>
          <t>○</t>
        </is>
      </c>
      <c r="T89" s="24" t="n">
        <v>158.5</v>
      </c>
      <c r="U89" s="24" t="n">
        <v>178.5</v>
      </c>
      <c r="V89" s="24" t="n">
        <v>20.2</v>
      </c>
      <c r="W89" s="29" t="inlineStr">
        <is>
          <t>牡・420kg+</t>
        </is>
      </c>
    </row>
    <row r="90" ht="15" customHeight="1" s="19">
      <c r="A90" s="24" t="n">
        <v>89</v>
      </c>
      <c r="B90" s="24" t="n"/>
      <c r="C90" s="25" t="inlineStr">
        <is>
          <t>ターシャズスターの25</t>
        </is>
      </c>
      <c r="D90" s="25" t="inlineStr">
        <is>
          <t>クリソベリル</t>
        </is>
      </c>
      <c r="E90" s="24" t="inlineStr">
        <is>
          <t>Spanish Steps</t>
        </is>
      </c>
      <c r="F90" s="25" t="inlineStr">
        <is>
          <t>メス</t>
        </is>
      </c>
      <c r="G90" s="25" t="inlineStr">
        <is>
          <t>鹿</t>
        </is>
      </c>
      <c r="H90" s="26" t="n">
        <v>45722</v>
      </c>
      <c r="I90" s="25" t="inlineStr">
        <is>
          <t>ノーザンF</t>
        </is>
      </c>
      <c r="J90" s="27" t="n">
        <v>2000</v>
      </c>
      <c r="K90" s="27" t="n">
        <v>200000</v>
      </c>
      <c r="L90" s="24" t="n">
        <v>19</v>
      </c>
      <c r="M90" s="24" t="n">
        <v>10</v>
      </c>
      <c r="N90" s="24">
        <f>IF(OR(L90="",M90=""),"",L90+M90)</f>
        <v/>
      </c>
      <c r="O90" s="24" t="n">
        <v>472</v>
      </c>
      <c r="P90" s="28" t="n">
        <v>1</v>
      </c>
      <c r="Q90" s="25" t="inlineStr">
        <is>
          <t>地方</t>
        </is>
      </c>
      <c r="R90" s="25" t="inlineStr">
        <is>
          <t>門別・田中淳司厩舎or大井・渡邉和雄厩舎（外厩）</t>
        </is>
      </c>
      <c r="S90" s="29" t="inlineStr"/>
      <c r="T90" s="24" t="n">
        <v>162</v>
      </c>
      <c r="U90" s="24" t="n">
        <v>178</v>
      </c>
      <c r="V90" s="24" t="n">
        <v>21</v>
      </c>
      <c r="W90" s="29" t="inlineStr">
        <is>
          <t>420kg+</t>
        </is>
      </c>
    </row>
    <row r="91" ht="15" customHeight="1" s="19">
      <c r="A91" s="24" t="n">
        <v>90</v>
      </c>
      <c r="B91" s="24" t="inlineStr">
        <is>
          <t>●</t>
        </is>
      </c>
      <c r="C91" s="25" t="inlineStr">
        <is>
          <t>ブランシェクールの25</t>
        </is>
      </c>
      <c r="D91" s="25" t="inlineStr">
        <is>
          <t>ジュンライトボルト</t>
        </is>
      </c>
      <c r="E91" s="25" t="inlineStr">
        <is>
          <t>ダイワメジャー</t>
        </is>
      </c>
      <c r="F91" s="25" t="inlineStr">
        <is>
          <t>メス</t>
        </is>
      </c>
      <c r="G91" s="25" t="inlineStr">
        <is>
          <t>芦</t>
        </is>
      </c>
      <c r="H91" s="26" t="n">
        <v>45681</v>
      </c>
      <c r="I91" s="25" t="inlineStr">
        <is>
          <t>ノーザンF</t>
        </is>
      </c>
      <c r="J91" s="27" t="n">
        <v>2800</v>
      </c>
      <c r="K91" s="27" t="n">
        <v>280000</v>
      </c>
      <c r="L91" s="24" t="n">
        <v>12</v>
      </c>
      <c r="M91" s="24" t="n">
        <v>4</v>
      </c>
      <c r="N91" s="24">
        <f>IF(OR(L91="",M91=""),"",L91+M91)</f>
        <v/>
      </c>
      <c r="O91" s="24" t="n">
        <v>490</v>
      </c>
      <c r="P91" s="28" t="n">
        <v>2</v>
      </c>
      <c r="Q91" s="25" t="inlineStr">
        <is>
          <t>地方</t>
        </is>
      </c>
      <c r="R91" s="25" t="inlineStr">
        <is>
          <t>門別・田中淳司厩舎or川崎・内田勝義厩舎（外厩）</t>
        </is>
      </c>
      <c r="S91" s="29" t="inlineStr"/>
      <c r="T91" s="24" t="n">
        <v>156</v>
      </c>
      <c r="U91" s="24" t="n">
        <v>185</v>
      </c>
      <c r="V91" s="24" t="n">
        <v>20.4</v>
      </c>
      <c r="W91" s="29" t="inlineStr">
        <is>
          <t>価格帯・420kg+</t>
        </is>
      </c>
    </row>
    <row r="92" ht="15" customHeight="1" s="19">
      <c r="A92" s="24" t="n">
        <v>91</v>
      </c>
      <c r="B92" s="24" t="n"/>
      <c r="C92" s="25" t="inlineStr">
        <is>
          <t>ジュールヒートの25</t>
        </is>
      </c>
      <c r="D92" s="25" t="inlineStr">
        <is>
          <t>ナダル</t>
        </is>
      </c>
      <c r="E92" s="25" t="inlineStr">
        <is>
          <t>ロードカナロア</t>
        </is>
      </c>
      <c r="F92" s="25" t="inlineStr">
        <is>
          <t>牡</t>
        </is>
      </c>
      <c r="G92" s="25" t="inlineStr">
        <is>
          <t>鹿</t>
        </is>
      </c>
      <c r="H92" s="26" t="n">
        <v>45700</v>
      </c>
      <c r="I92" s="25" t="inlineStr">
        <is>
          <t>ノーザンF</t>
        </is>
      </c>
      <c r="J92" s="27" t="n">
        <v>2500</v>
      </c>
      <c r="K92" s="27" t="n">
        <v>250000</v>
      </c>
      <c r="L92" s="24" t="n">
        <v>5</v>
      </c>
      <c r="M92" s="24" t="n">
        <v>1</v>
      </c>
      <c r="N92" s="24">
        <f>IF(OR(L92="",M92=""),"",L92+M92)</f>
        <v/>
      </c>
      <c r="O92" s="24" t="n">
        <v>437</v>
      </c>
      <c r="P92" s="28" t="n">
        <v>3</v>
      </c>
      <c r="Q92" s="25" t="inlineStr">
        <is>
          <t>地方</t>
        </is>
      </c>
      <c r="R92" s="25" t="inlineStr">
        <is>
          <t>門別・田中淳司厩舎or船橋・川島正一厩舎（外厩）</t>
        </is>
      </c>
      <c r="S92" s="29" t="inlineStr"/>
      <c r="T92" s="24" t="n">
        <v>151</v>
      </c>
      <c r="U92" s="24" t="n">
        <v>172</v>
      </c>
      <c r="V92" s="24" t="n">
        <v>20</v>
      </c>
      <c r="W92" s="29" t="inlineStr">
        <is>
          <t>牡・価格帯・420kg+</t>
        </is>
      </c>
    </row>
    <row r="93" ht="15" customHeight="1" s="19">
      <c r="A93" s="24" t="n">
        <v>92</v>
      </c>
      <c r="B93" s="24" t="inlineStr">
        <is>
          <t>●</t>
        </is>
      </c>
      <c r="C93" s="25" t="inlineStr">
        <is>
          <t>ペルレンケッテの25</t>
        </is>
      </c>
      <c r="D93" s="25" t="inlineStr">
        <is>
          <t>ホットロッドチャーリー</t>
        </is>
      </c>
      <c r="E93" s="25" t="inlineStr">
        <is>
          <t>ディープインパクト</t>
        </is>
      </c>
      <c r="F93" s="25" t="inlineStr">
        <is>
          <t>メス</t>
        </is>
      </c>
      <c r="G93" s="25" t="inlineStr">
        <is>
          <t>鹿</t>
        </is>
      </c>
      <c r="H93" s="26" t="n">
        <v>45784</v>
      </c>
      <c r="I93" s="25" t="inlineStr">
        <is>
          <t>ノーザンF</t>
        </is>
      </c>
      <c r="J93" s="27" t="n">
        <v>1800</v>
      </c>
      <c r="K93" s="27" t="n">
        <v>180000</v>
      </c>
      <c r="L93" s="24" t="n">
        <v>17</v>
      </c>
      <c r="M93" s="24" t="n">
        <v>9</v>
      </c>
      <c r="N93" s="24">
        <f>IF(OR(L93="",M93=""),"",L93+M93)</f>
        <v/>
      </c>
      <c r="O93" s="24" t="n">
        <v>417</v>
      </c>
      <c r="P93" s="28" t="n">
        <v>0</v>
      </c>
      <c r="Q93" s="25" t="inlineStr">
        <is>
          <t>地方</t>
        </is>
      </c>
      <c r="R93" s="25" t="inlineStr">
        <is>
          <t>門別・田中淳司厩舎or大井・荒山勝徳厩舎</t>
        </is>
      </c>
      <c r="S93" s="29" t="inlineStr"/>
      <c r="T93" s="24" t="n">
        <v>157</v>
      </c>
      <c r="U93" s="24" t="n">
        <v>174</v>
      </c>
      <c r="V93" s="24" t="n">
        <v>20</v>
      </c>
      <c r="W93" s="29" t="inlineStr"/>
    </row>
    <row r="94" ht="15" customHeight="1" s="19">
      <c r="A94" s="24" t="n">
        <v>93</v>
      </c>
      <c r="B94" s="24" t="n"/>
      <c r="C94" s="25" t="inlineStr">
        <is>
          <t>グラッブユアコートの25</t>
        </is>
      </c>
      <c r="D94" s="25" t="inlineStr">
        <is>
          <t>マインドユアビスケッツ</t>
        </is>
      </c>
      <c r="E94" s="25" t="inlineStr">
        <is>
          <t>ゴールドアリュール</t>
        </is>
      </c>
      <c r="F94" s="25" t="inlineStr">
        <is>
          <t>メス</t>
        </is>
      </c>
      <c r="G94" s="25" t="inlineStr">
        <is>
          <t>栗</t>
        </is>
      </c>
      <c r="H94" s="26" t="n">
        <v>45729</v>
      </c>
      <c r="I94" s="25" t="inlineStr">
        <is>
          <t>ノーザンF</t>
        </is>
      </c>
      <c r="J94" s="27" t="n">
        <v>1800</v>
      </c>
      <c r="K94" s="27" t="n">
        <v>180000</v>
      </c>
      <c r="L94" s="24" t="n">
        <v>13</v>
      </c>
      <c r="M94" s="24" t="n">
        <v>5</v>
      </c>
      <c r="N94" s="24">
        <f>IF(OR(L94="",M94=""),"",L94+M94)</f>
        <v/>
      </c>
      <c r="O94" s="24" t="n">
        <v>412</v>
      </c>
      <c r="P94" s="28" t="n">
        <v>0</v>
      </c>
      <c r="Q94" s="25" t="inlineStr">
        <is>
          <t>地方</t>
        </is>
      </c>
      <c r="R94" s="25" t="inlineStr">
        <is>
          <t>門別・田中淳司厩舎or大井・荒山勝徳厩舎</t>
        </is>
      </c>
      <c r="S94" s="29" t="inlineStr"/>
      <c r="T94" s="24" t="n">
        <v>153</v>
      </c>
      <c r="U94" s="24" t="n">
        <v>170</v>
      </c>
      <c r="V94" s="24" t="n">
        <v>19.6</v>
      </c>
      <c r="W94" s="29" t="inlineStr"/>
    </row>
    <row r="95" ht="15" customHeight="1" s="19">
      <c r="A95" s="25" t="n">
        <v>94</v>
      </c>
      <c r="B95" s="24" t="n"/>
      <c r="C95" s="25" t="inlineStr">
        <is>
          <t>エレガントマナーの25</t>
        </is>
      </c>
      <c r="D95" s="25" t="inlineStr">
        <is>
          <t>モーニン</t>
        </is>
      </c>
      <c r="E95" s="25" t="inlineStr">
        <is>
          <t>シンボリクリスエス</t>
        </is>
      </c>
      <c r="F95" s="25" t="inlineStr">
        <is>
          <t>牡</t>
        </is>
      </c>
      <c r="G95" s="25" t="inlineStr">
        <is>
          <t>栗</t>
        </is>
      </c>
      <c r="H95" s="26" t="n">
        <v>45719</v>
      </c>
      <c r="I95" s="25" t="inlineStr">
        <is>
          <t>ノーザンF</t>
        </is>
      </c>
      <c r="J95" s="27" t="n">
        <v>2000</v>
      </c>
      <c r="K95" s="27" t="n">
        <v>200000</v>
      </c>
      <c r="L95" s="25" t="n">
        <v>19</v>
      </c>
      <c r="M95" s="25" t="n">
        <v>12</v>
      </c>
      <c r="N95" s="25">
        <f>IF(OR(L95="",M95=""),"",L95+M95)</f>
        <v/>
      </c>
      <c r="O95" s="24" t="n">
        <v>476</v>
      </c>
      <c r="P95" s="28" t="n">
        <v>2</v>
      </c>
      <c r="Q95" s="25" t="inlineStr">
        <is>
          <t>地方</t>
        </is>
      </c>
      <c r="R95" s="25" t="inlineStr">
        <is>
          <t>門別・田中淳司厩舎or大井・藤田輝信厩舎（外厩）</t>
        </is>
      </c>
      <c r="S95" s="29" t="inlineStr"/>
      <c r="T95" s="24" t="n">
        <v>158.5</v>
      </c>
      <c r="U95" s="24" t="n">
        <v>179</v>
      </c>
      <c r="V95" s="24" t="n">
        <v>20.9</v>
      </c>
      <c r="W95" s="29" t="inlineStr">
        <is>
          <t>牡・420kg+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C9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15" zeroHeight="0" outlineLevelRow="0"/>
  <cols>
    <col width="46" customWidth="1" style="18" min="1" max="1"/>
    <col width="40" customWidth="1" style="18" min="2" max="2"/>
    <col width="40" customWidth="1" style="18" min="3" max="3"/>
  </cols>
  <sheetData>
    <row r="1" ht="15" customHeight="1" s="19">
      <c r="A1" s="30" t="inlineStr">
        <is>
          <t>キャロット出資 検討基準（2020〜2024年度募集・全467頭の成績分析より。基準の導出は中央400口の444頭）</t>
        </is>
      </c>
      <c r="B1" s="31" t="inlineStr"/>
      <c r="C1" s="31" t="inlineStr"/>
    </row>
    <row r="2">
      <c r="A2" s="31" t="inlineStr"/>
      <c r="B2" s="31" t="inlineStr"/>
      <c r="C2" s="31" t="inlineStr"/>
    </row>
    <row r="3" ht="15" customHeight="1" s="19">
      <c r="A3" s="31" t="inlineStr">
        <is>
          <t>全体基準値: 中央勝ち上がり率49% / 賞金が募集総額を超えた馬17% / 重賞勝ち馬20頭</t>
        </is>
      </c>
      <c r="B3" s="31" t="inlineStr"/>
      <c r="C3" s="31" t="inlineStr"/>
    </row>
    <row r="4" ht="15" customHeight="1" s="19">
      <c r="A4" s="31" t="inlineStr">
        <is>
          <t>※「勝ち上がり」は中央で1勝以上。netkeibaの通算成績は地方の勝利も含むため、出走履歴をレース単位まで見て中央だけを数え直している</t>
        </is>
      </c>
      <c r="B4" s="31" t="inlineStr"/>
      <c r="C4" s="31" t="inlineStr"/>
    </row>
    <row r="5">
      <c r="A5" s="31" t="inlineStr">
        <is>
          <t>※回収率=(中央+地方の獲得賞金)/募集総額。進上金・維持費・繁殖価値は含まない。2026年8月時点</t>
        </is>
      </c>
      <c r="B5" s="31" t="inlineStr"/>
      <c r="C5" s="31" t="inlineStr"/>
    </row>
    <row r="6" ht="15" customHeight="1" s="19">
      <c r="A6" s="31" t="inlineStr">
        <is>
          <t>※2023年度募集は現4歳・2024年度募集は現3歳で成績は積み上がる途中。基準の検定は年度ダミーを入れて行っている</t>
        </is>
      </c>
      <c r="B6" s="31" t="inlineStr"/>
      <c r="C6" s="31" t="inlineStr"/>
    </row>
    <row r="7" ht="15" customHeight="1" s="19">
      <c r="A7" s="31" t="inlineStr"/>
      <c r="B7" s="31" t="inlineStr"/>
      <c r="C7" s="31" t="inlineStr"/>
    </row>
    <row r="8" ht="14.25" customHeight="1" s="19">
      <c r="A8" s="30" t="inlineStr">
        <is>
          <t>◆スコア基準(各1点・計3点)</t>
        </is>
      </c>
      <c r="B8" s="31" t="inlineStr">
        <is>
          <t>条件</t>
        </is>
      </c>
      <c r="C8" s="31" t="inlineStr">
        <is>
          <t>根拠(中央勝ち上がり/回収≥1)</t>
        </is>
      </c>
    </row>
    <row r="9" ht="15" customHeight="1" s="19">
      <c r="A9" s="31" t="inlineStr">
        <is>
          <t>1. 性別</t>
        </is>
      </c>
      <c r="B9" s="31" t="inlineStr">
        <is>
          <t>牡馬</t>
        </is>
      </c>
      <c r="C9" s="31" t="inlineStr">
        <is>
          <t>牡55%（207頭）vs メス44%（237頭）。重賞20頭中15頭が牡</t>
        </is>
      </c>
    </row>
    <row r="10" ht="14.25" customHeight="1" s="19">
      <c r="A10" s="31" t="inlineStr">
        <is>
          <t>2. 募集総額</t>
        </is>
      </c>
      <c r="B10" s="31" t="inlineStr">
        <is>
          <t>2500〜3999万円</t>
        </is>
      </c>
      <c r="C10" s="31" t="inlineStr">
        <is>
          <t>57%・24%（148頭）。2500万未満は31%・15%（113頭）と落ち、4000万以上は54%・13%（183頭）で走るが回収が伸びない</t>
        </is>
      </c>
    </row>
    <row r="11" ht="14.25" customHeight="1" s="19">
      <c r="A11" s="31" t="inlineStr">
        <is>
          <t>3. 馬体重</t>
        </is>
      </c>
      <c r="B11" s="31" t="inlineStr">
        <is>
          <t>募集時420kg以上</t>
        </is>
      </c>
      <c r="C11" s="31" t="inlineStr">
        <is>
          <t>54%・19%（352頭）vs 420kg未満31%・10%（91頭）</t>
        </is>
      </c>
    </row>
    <row r="12" ht="14.25" customHeight="1" s="19">
      <c r="A12" s="31" t="inlineStr"/>
      <c r="B12" s="31" t="inlineStr"/>
      <c r="C12" s="31" t="inlineStr"/>
    </row>
    <row r="13">
      <c r="A13" s="30" t="inlineStr">
        <is>
          <t>◆5年に広げて落とした基準（3年では効いて見えたが5年では効かなかった）</t>
        </is>
      </c>
      <c r="B13" s="31" t="inlineStr"/>
      <c r="C13" s="31" t="inlineStr"/>
    </row>
    <row r="14" ht="15" customHeight="1" s="19">
      <c r="A14" s="31" t="inlineStr">
        <is>
          <t>3〜4月生まれ</t>
        </is>
      </c>
      <c r="B14" s="31" t="inlineStr">
        <is>
          <t>3〜4月生51%（216頭）vs 1〜2月生48%（196頭）</t>
        </is>
      </c>
      <c r="C14" s="31" t="inlineStr">
        <is>
          <t>年度ダミーつきロジスティック回帰で z=+0.7（有意でない）</t>
        </is>
      </c>
    </row>
    <row r="15" ht="14.25" customHeight="1" s="19">
      <c r="A15" s="31" t="inlineStr">
        <is>
          <t>ノーザンＦ生産</t>
        </is>
      </c>
      <c r="B15" s="31" t="inlineStr">
        <is>
          <t>ノーザンＦ49%（391頭）vs その他51%（53頭）</t>
        </is>
      </c>
      <c r="C15" s="31" t="inlineStr">
        <is>
          <t>z=−0.1。白老Ｆ・追分Ｆのほうがむしろ上</t>
        </is>
      </c>
    </row>
    <row r="16" ht="15" customHeight="1" s="19">
      <c r="A16" s="31" t="inlineStr">
        <is>
          <t>母8〜11歳</t>
        </is>
      </c>
      <c r="B16" s="31" t="inlineStr">
        <is>
          <t>52%（180頭）vs それ以外47%</t>
        </is>
      </c>
      <c r="C16" s="31" t="inlineStr">
        <is>
          <t>z=+0.9（有意でない）</t>
        </is>
      </c>
    </row>
    <row r="17" ht="14.25" customHeight="1" s="19">
      <c r="A17" s="31" t="inlineStr"/>
      <c r="B17" s="31" t="inlineStr"/>
      <c r="C17" s="31" t="inlineStr"/>
    </row>
    <row r="18">
      <c r="A18" s="30" t="inlineStr">
        <is>
          <t>◆スコア別の実績（5年・中央400口）</t>
        </is>
      </c>
      <c r="B18" s="31" t="inlineStr"/>
      <c r="C18" s="31" t="inlineStr"/>
    </row>
    <row r="19" ht="15" customHeight="1" s="19">
      <c r="A19" s="31" t="inlineStr">
        <is>
          <t>スコア3 (52頭)</t>
        </is>
      </c>
      <c r="B19" s="31" t="inlineStr">
        <is>
          <t>中央勝ち上がり67%・回収≥1が37%・回収中央値0.7</t>
        </is>
      </c>
      <c r="C19" s="31" t="inlineStr">
        <is>
          <t>重賞6頭</t>
        </is>
      </c>
    </row>
    <row r="20" ht="15" customHeight="1" s="19">
      <c r="A20" s="31" t="inlineStr">
        <is>
          <t>スコア2 (202頭)</t>
        </is>
      </c>
      <c r="B20" s="31" t="inlineStr">
        <is>
          <t>中央勝ち上がり54%・回収≥1が16%・回収中央値0.24</t>
        </is>
      </c>
      <c r="C20" s="31" t="inlineStr">
        <is>
          <t>重賞12頭</t>
        </is>
      </c>
    </row>
    <row r="21" ht="15" customHeight="1" s="19">
      <c r="A21" s="31" t="inlineStr">
        <is>
          <t>スコア1 (147頭)</t>
        </is>
      </c>
      <c r="B21" s="31" t="inlineStr">
        <is>
          <t>中央勝ち上がり45%・回収≥1が16%・回収中央値0.22</t>
        </is>
      </c>
      <c r="C21" s="31" t="inlineStr">
        <is>
          <t>重賞2頭</t>
        </is>
      </c>
    </row>
    <row r="22" ht="15" customHeight="1" s="19">
      <c r="A22" s="31" t="inlineStr">
        <is>
          <t>スコア0 (43頭)</t>
        </is>
      </c>
      <c r="B22" s="31" t="inlineStr">
        <is>
          <t>中央勝ち上がり21%・回収≥1が2%・回収中央値0.04</t>
        </is>
      </c>
      <c r="C22" s="31" t="inlineStr">
        <is>
          <t>重賞0頭</t>
        </is>
      </c>
    </row>
    <row r="23" ht="15" customHeight="1" s="19">
      <c r="A23" s="31" t="inlineStr"/>
      <c r="B23" s="31" t="inlineStr"/>
      <c r="C23" s="31" t="inlineStr"/>
    </row>
    <row r="24" ht="15" customHeight="1" s="19">
      <c r="A24" s="30" t="inlineStr">
        <is>
          <t>◆当たり具合（AUC。0.5＝でたらめ、1.0＝完全）</t>
        </is>
      </c>
      <c r="B24" s="31" t="inlineStr"/>
      <c r="C24" s="31" t="inlineStr"/>
    </row>
    <row r="25" ht="15" customHeight="1" s="19">
      <c r="A25" s="31" t="inlineStr">
        <is>
          <t>新スコア(3点)</t>
        </is>
      </c>
      <c r="B25" s="31" t="inlineStr">
        <is>
          <t>中央勝ち上がり0.614 / 回収≥1 0.621</t>
        </is>
      </c>
      <c r="C25" s="31" t="inlineStr">
        <is>
          <t>年度別 2020:0.57 2021:0.57 2022:0.7 2023:0.54 2024:0.67</t>
        </is>
      </c>
    </row>
    <row r="26" ht="15" customHeight="1" s="19">
      <c r="A26" s="31" t="inlineStr">
        <is>
          <t>既存6基準</t>
        </is>
      </c>
      <c r="B26" s="31" t="inlineStr">
        <is>
          <t>中央勝ち上がり0.608 / 回収≥1 0.598</t>
        </is>
      </c>
      <c r="C26" s="31" t="inlineStr">
        <is>
          <t>年度別 2020:0.73 2021:0.56 2022:0.66 2023:0.56 2024:0.53</t>
        </is>
      </c>
    </row>
    <row r="27">
      <c r="A27" s="31" t="inlineStr">
        <is>
          <t>※既存6基準は作った年（2020年度）で高く、作成に使っていない2023・2024年度で落ちる。基準を絞ったほうが年をまたいで安定する</t>
        </is>
      </c>
      <c r="B27" s="31" t="inlineStr"/>
      <c r="C27" s="31" t="inlineStr"/>
    </row>
    <row r="28" ht="15" customHeight="1" s="19">
      <c r="A28" s="31" t="inlineStr"/>
      <c r="B28" s="31" t="inlineStr"/>
      <c r="C28" s="31" t="inlineStr"/>
    </row>
    <row r="29" ht="15" customHeight="1" s="19">
      <c r="A29" s="30" t="inlineStr">
        <is>
          <t>◆募集価格の帯ごとの中身</t>
        </is>
      </c>
      <c r="B29" s="31" t="inlineStr">
        <is>
          <t>中央勝ち上がり / 回収≥1 / 回収中央値</t>
        </is>
      </c>
      <c r="C29" s="31" t="inlineStr">
        <is>
          <t>重賞</t>
        </is>
      </c>
    </row>
    <row r="30" ht="15" customHeight="1" s="19">
      <c r="A30" s="31" t="inlineStr">
        <is>
          <t>2500万未満 (113頭)</t>
        </is>
      </c>
      <c r="B30" s="31" t="inlineStr">
        <is>
          <t>31% / 15% / 0.15</t>
        </is>
      </c>
      <c r="C30" s="31" t="inlineStr">
        <is>
          <t>1頭</t>
        </is>
      </c>
    </row>
    <row r="31" ht="15" customHeight="1" s="19">
      <c r="A31" s="31" t="inlineStr">
        <is>
          <t>2500〜3999万 (148頭)</t>
        </is>
      </c>
      <c r="B31" s="31" t="inlineStr">
        <is>
          <t>57% / 24% / 0.36</t>
        </is>
      </c>
      <c r="C31" s="31" t="inlineStr">
        <is>
          <t>9頭</t>
        </is>
      </c>
    </row>
    <row r="32" ht="15" customHeight="1" s="19">
      <c r="A32" s="31" t="inlineStr">
        <is>
          <t>4000〜4999万 (66頭)</t>
        </is>
      </c>
      <c r="B32" s="31" t="inlineStr">
        <is>
          <t>53% / 12% / 0.17</t>
        </is>
      </c>
      <c r="C32" s="31" t="inlineStr">
        <is>
          <t>1頭</t>
        </is>
      </c>
    </row>
    <row r="33" ht="15" customHeight="1" s="19">
      <c r="A33" s="31" t="inlineStr">
        <is>
          <t>5000〜5999万 (60頭)</t>
        </is>
      </c>
      <c r="B33" s="31" t="inlineStr">
        <is>
          <t>53% / 17% / 0.18</t>
        </is>
      </c>
      <c r="C33" s="31" t="inlineStr">
        <is>
          <t>5頭</t>
        </is>
      </c>
    </row>
    <row r="34" ht="15" customHeight="1" s="19">
      <c r="A34" s="31" t="inlineStr">
        <is>
          <t>6000〜7999万 (35頭)</t>
        </is>
      </c>
      <c r="B34" s="31" t="inlineStr">
        <is>
          <t>57% / 9% / 0.14</t>
        </is>
      </c>
      <c r="C34" s="31" t="inlineStr">
        <is>
          <t>1頭</t>
        </is>
      </c>
    </row>
    <row r="35" ht="15" customHeight="1" s="19">
      <c r="A35" s="31" t="inlineStr">
        <is>
          <t>8000万以上 (22頭)</t>
        </is>
      </c>
      <c r="B35" s="31" t="inlineStr">
        <is>
          <t>55% / 14% / 0.19</t>
        </is>
      </c>
      <c r="C35" s="31" t="inlineStr">
        <is>
          <t>3頭</t>
        </is>
      </c>
    </row>
    <row r="36">
      <c r="A36" s="31" t="inlineStr">
        <is>
          <t>→ 5000万以上は「走るが回収が伸びない」。8000万以上で回収が募集額を超えたのは22頭中3頭</t>
        </is>
      </c>
      <c r="B36" s="31" t="inlineStr"/>
      <c r="C36" s="31" t="inlineStr"/>
    </row>
    <row r="37" ht="15" customHeight="1" s="19">
      <c r="A37" s="31" t="inlineStr"/>
      <c r="B37" s="31" t="inlineStr"/>
      <c r="C37" s="31" t="inlineStr"/>
    </row>
    <row r="38" ht="15" customHeight="1" s="19">
      <c r="A38" s="30" t="inlineStr">
        <is>
          <t>◆価格帯の注意：募集価格の水準が上がり続けている</t>
        </is>
      </c>
      <c r="B38" s="31" t="inlineStr"/>
      <c r="C38" s="31" t="inlineStr"/>
    </row>
    <row r="39" ht="15" customHeight="1" s="19">
      <c r="A39" s="31" t="inlineStr">
        <is>
          <t>募集総額の中央値</t>
        </is>
      </c>
      <c r="B39" s="31" t="inlineStr">
        <is>
          <t>2020年度2800万 → 2021年度3000万 → 2022年度3200万 → 2023年度3600万 → 2024年度4000万 → 2026年度5000万</t>
        </is>
      </c>
      <c r="C39" s="31" t="inlineStr"/>
    </row>
    <row r="40" ht="15" customHeight="1" s="19">
      <c r="A40" s="31" t="inlineStr">
        <is>
          <t>価格基準を「その年の中での位置」に置き換えても当たり具合は改善しなかった（AUC 0.591 vs 絶対額0.614）ので絶対額のままにしている</t>
        </is>
      </c>
      <c r="B40" s="31" t="inlineStr"/>
      <c r="C40" s="31" t="inlineStr"/>
    </row>
    <row r="41">
      <c r="A41" s="31" t="inlineStr">
        <is>
          <t>価格ちょうどの水準で見ると、3000万(52頭)が中央勝ち上がり69%・回収≥1が31%で突出し、4000万(50頭)は50%・12%で5000万(55頭)51%・15%とほぼ同じ。4000万は「3000万の延長」ではなく「5000万と同じ側」</t>
        </is>
      </c>
      <c r="B41" s="31" t="inlineStr"/>
      <c r="C41" s="31" t="inlineStr"/>
    </row>
    <row r="42" ht="15" customHeight="1" s="19">
      <c r="A42" s="31" t="inlineStr">
        <is>
          <t>ただし2026年度で2500〜3999万に該当するのは94頭中20頭。募集価格の上昇が続くと該当が減るので、来年以降は帯の見直しが要る</t>
        </is>
      </c>
      <c r="B42" s="31" t="inlineStr"/>
      <c r="C42" s="31" t="inlineStr"/>
    </row>
    <row r="43" ht="15" customHeight="1" s="19">
      <c r="A43" s="31" t="inlineStr"/>
      <c r="B43" s="31" t="inlineStr"/>
      <c r="C43" s="31" t="inlineStr"/>
    </row>
    <row r="44" ht="15" customHeight="1" s="19">
      <c r="A44" s="30" t="inlineStr">
        <is>
          <t>◆回避条件</t>
        </is>
      </c>
      <c r="B44" s="31" t="inlineStr"/>
      <c r="C44" s="31" t="inlineStr"/>
    </row>
    <row r="45" ht="15" customHeight="1" s="19">
      <c r="A45" s="31" t="inlineStr">
        <is>
          <t>メスの馬体重420kg未満 (64頭)</t>
        </is>
      </c>
      <c r="B45" s="31" t="inlineStr">
        <is>
          <t>中央勝ち上がり30%・回収≥1が6%・回収中央値0.08</t>
        </is>
      </c>
      <c r="C45" s="31" t="inlineStr">
        <is>
          <t>420kg以上のメス（173頭）は50%・16%</t>
        </is>
      </c>
    </row>
    <row r="46" ht="15" customHeight="1" s="19">
      <c r="A46" s="31" t="inlineStr"/>
      <c r="B46" s="31" t="inlineStr"/>
      <c r="C46" s="31" t="inlineStr"/>
    </row>
    <row r="47" ht="14.25" customHeight="1" s="19">
      <c r="A47" s="30" t="inlineStr">
        <is>
          <t>◆厩舎との相性（5年・中央400口・5頭以上。予定厩舎ベース）</t>
        </is>
      </c>
      <c r="B47" s="31" t="inlineStr"/>
      <c r="C47" s="31" t="inlineStr"/>
    </row>
    <row r="48" ht="14.25" customHeight="1" s="19">
      <c r="A48" s="31" t="inlineStr">
        <is>
          <t>【好調】池添学</t>
        </is>
      </c>
      <c r="B48" s="31" t="inlineStr">
        <is>
          <t>14頭: 中央勝ち上がり64%・回収≥1が43%・回収中央値0.44</t>
        </is>
      </c>
      <c r="C48" s="31" t="inlineStr">
        <is>
          <t>重賞2頭</t>
        </is>
      </c>
    </row>
    <row r="49" ht="15" customHeight="1" s="19">
      <c r="A49" s="31" t="inlineStr">
        <is>
          <t>【好調】田村康仁</t>
        </is>
      </c>
      <c r="B49" s="31" t="inlineStr">
        <is>
          <t>5頭: 中央勝ち上がり60%・回収≥1が40%・回収中央値0.16</t>
        </is>
      </c>
      <c r="C49" s="31" t="inlineStr">
        <is>
          <t>重賞0頭</t>
        </is>
      </c>
    </row>
    <row r="50" ht="15" customHeight="1" s="19">
      <c r="A50" s="31" t="inlineStr">
        <is>
          <t>【好調】安田翔伍</t>
        </is>
      </c>
      <c r="B50" s="31" t="inlineStr">
        <is>
          <t>6頭: 中央勝ち上がり83%・回収≥1が33%・回収中央値0.62</t>
        </is>
      </c>
      <c r="C50" s="31" t="inlineStr">
        <is>
          <t>重賞0頭</t>
        </is>
      </c>
    </row>
    <row r="51" ht="15" customHeight="1" s="19">
      <c r="A51" s="31" t="inlineStr">
        <is>
          <t>【好調】武幸四郎</t>
        </is>
      </c>
      <c r="B51" s="31" t="inlineStr">
        <is>
          <t>6頭: 中央勝ち上がり83%・回収≥1が33%・回収中央値0.7</t>
        </is>
      </c>
      <c r="C51" s="31" t="inlineStr">
        <is>
          <t>重賞0頭</t>
        </is>
      </c>
    </row>
    <row r="52" ht="15" customHeight="1" s="19">
      <c r="A52" s="31" t="inlineStr">
        <is>
          <t>【好調】尾関知人</t>
        </is>
      </c>
      <c r="B52" s="31" t="inlineStr">
        <is>
          <t>6頭: 中央勝ち上がり50%・回収≥1が33%・回収中央値0.17</t>
        </is>
      </c>
      <c r="C52" s="31" t="inlineStr">
        <is>
          <t>重賞1頭</t>
        </is>
      </c>
    </row>
    <row r="53" ht="15" customHeight="1" s="19">
      <c r="A53" s="31" t="inlineStr">
        <is>
          <t>【好調】矢作芳人</t>
        </is>
      </c>
      <c r="B53" s="31" t="inlineStr">
        <is>
          <t>6頭: 中央勝ち上がり33%・回収≥1が33%・回収中央値0.05</t>
        </is>
      </c>
      <c r="C53" s="31" t="inlineStr">
        <is>
          <t>重賞1頭</t>
        </is>
      </c>
    </row>
    <row r="54">
      <c r="A54" s="31" t="inlineStr">
        <is>
          <t>【好調】国枝栄</t>
        </is>
      </c>
      <c r="B54" s="31" t="inlineStr">
        <is>
          <t>7頭: 中央勝ち上がり57%・回収≥1が29%・回収中央値0.26</t>
        </is>
      </c>
      <c r="C54" s="31" t="inlineStr">
        <is>
          <t>重賞2頭</t>
        </is>
      </c>
    </row>
    <row r="55">
      <c r="A55" s="31" t="inlineStr">
        <is>
          <t>【好調】藤原英昭</t>
        </is>
      </c>
      <c r="B55" s="31" t="inlineStr">
        <is>
          <t>7頭: 中央勝ち上がり57%・回収≥1が29%・回収中央値0.29</t>
        </is>
      </c>
      <c r="C55" s="31" t="inlineStr">
        <is>
          <t>重賞0頭</t>
        </is>
      </c>
    </row>
    <row r="56">
      <c r="A56" s="31" t="inlineStr">
        <is>
          <t>【注意】池江泰寿</t>
        </is>
      </c>
      <c r="B56" s="31" t="inlineStr">
        <is>
          <t>6頭: 中央勝ち上がり0%・回収≥1が0%・回収中央値0.06</t>
        </is>
      </c>
      <c r="C56" s="31" t="inlineStr">
        <is>
          <t>重賞0頭</t>
        </is>
      </c>
    </row>
    <row r="57">
      <c r="A57" s="31" t="inlineStr">
        <is>
          <t>【注意】平田修</t>
        </is>
      </c>
      <c r="B57" s="31" t="inlineStr">
        <is>
          <t>5頭: 中央勝ち上がり0%・回収≥1が0%・回収中央値0.0</t>
        </is>
      </c>
      <c r="C57" s="31" t="inlineStr">
        <is>
          <t>重賞0頭</t>
        </is>
      </c>
    </row>
    <row r="58">
      <c r="A58" s="31" t="inlineStr">
        <is>
          <t>【注意】萩原清</t>
        </is>
      </c>
      <c r="B58" s="31" t="inlineStr">
        <is>
          <t>9頭: 中央勝ち上がり11%・回収≥1が0%・回収中央値0.0</t>
        </is>
      </c>
      <c r="C58" s="31" t="inlineStr">
        <is>
          <t>重賞0頭</t>
        </is>
      </c>
    </row>
    <row r="59">
      <c r="A59" s="31" t="inlineStr">
        <is>
          <t>【注意】渡辺薫彦</t>
        </is>
      </c>
      <c r="B59" s="31" t="inlineStr">
        <is>
          <t>5頭: 中央勝ち上がり20%・回収≥1が0%・回収中央値0.27</t>
        </is>
      </c>
      <c r="C59" s="31" t="inlineStr">
        <is>
          <t>重賞0頭</t>
        </is>
      </c>
    </row>
    <row r="60">
      <c r="A60" s="31" t="inlineStr">
        <is>
          <t>【注意】高柳瑞樹</t>
        </is>
      </c>
      <c r="B60" s="31" t="inlineStr">
        <is>
          <t>5頭: 中央勝ち上がり40%・回収≥1が0%・回収中央値0.12</t>
        </is>
      </c>
      <c r="C60" s="31" t="inlineStr">
        <is>
          <t>重賞0頭</t>
        </is>
      </c>
    </row>
    <row r="61">
      <c r="A61" s="31" t="inlineStr">
        <is>
          <t>【注意】林徹</t>
        </is>
      </c>
      <c r="B61" s="31" t="inlineStr">
        <is>
          <t>5頭: 中央勝ち上がり40%・回収≥1が0%・回収中央値0.32</t>
        </is>
      </c>
      <c r="C61" s="31" t="inlineStr">
        <is>
          <t>重賞0頭</t>
        </is>
      </c>
    </row>
    <row r="62">
      <c r="A62" s="31" t="inlineStr">
        <is>
          <t>※各厩舎5〜17頭の小標本。予定厩舎は募集時点のもので、実際の入厩先は変わりうる</t>
        </is>
      </c>
      <c r="B62" s="31" t="inlineStr"/>
      <c r="C62" s="31" t="inlineStr"/>
    </row>
    <row r="63">
      <c r="A63" s="31" t="inlineStr"/>
      <c r="B63" s="31" t="inlineStr"/>
      <c r="C63" s="31" t="inlineStr"/>
    </row>
    <row r="64">
      <c r="A64" s="30" t="inlineStr">
        <is>
          <t>◆父の傾向（5年・中央400口・8頭以上）</t>
        </is>
      </c>
      <c r="B64" s="31" t="inlineStr"/>
      <c r="C64" s="31" t="inlineStr"/>
    </row>
    <row r="65">
      <c r="A65" s="31" t="inlineStr">
        <is>
          <t>ニューイヤーズデイ</t>
        </is>
      </c>
      <c r="B65" s="31" t="inlineStr">
        <is>
          <t>10頭: 中央勝ち上がり90%・回収≥1が40%・回収中央値0.63</t>
        </is>
      </c>
      <c r="C65" s="31" t="inlineStr">
        <is>
          <t>重賞0頭</t>
        </is>
      </c>
    </row>
    <row r="66">
      <c r="A66" s="31" t="inlineStr">
        <is>
          <t>リアルスティール</t>
        </is>
      </c>
      <c r="B66" s="31" t="inlineStr">
        <is>
          <t>12頭: 中央勝ち上がり67%・回収≥1が33%・回収中央値0.39</t>
        </is>
      </c>
      <c r="C66" s="31" t="inlineStr">
        <is>
          <t>重賞2頭</t>
        </is>
      </c>
    </row>
    <row r="67">
      <c r="A67" s="31" t="inlineStr">
        <is>
          <t>ルーラーシップ</t>
        </is>
      </c>
      <c r="B67" s="31" t="inlineStr">
        <is>
          <t>15頭: 中央勝ち上がり47%・回収≥1が27%・回収中央値0.16</t>
        </is>
      </c>
      <c r="C67" s="31" t="inlineStr">
        <is>
          <t>重賞1頭</t>
        </is>
      </c>
    </row>
    <row r="68">
      <c r="A68" s="31" t="inlineStr">
        <is>
          <t>ハービンジャー</t>
        </is>
      </c>
      <c r="B68" s="31" t="inlineStr">
        <is>
          <t>16頭: 中央勝ち上がり44%・回収≥1が25%・回収中央値0.32</t>
        </is>
      </c>
      <c r="C68" s="31" t="inlineStr">
        <is>
          <t>重賞2頭</t>
        </is>
      </c>
    </row>
    <row r="69">
      <c r="A69" s="31" t="inlineStr">
        <is>
          <t>キズナ</t>
        </is>
      </c>
      <c r="B69" s="31" t="inlineStr">
        <is>
          <t>18頭: 中央勝ち上がり44%・回収≥1が22%・回収中央値0.11</t>
        </is>
      </c>
      <c r="C69" s="31" t="inlineStr">
        <is>
          <t>重賞3頭</t>
        </is>
      </c>
    </row>
    <row r="70">
      <c r="A70" s="31" t="inlineStr">
        <is>
          <t>エピファネイア</t>
        </is>
      </c>
      <c r="B70" s="31" t="inlineStr">
        <is>
          <t>24頭: 中央勝ち上がり71%・回収≥1が21%・回収中央値0.38</t>
        </is>
      </c>
      <c r="C70" s="31" t="inlineStr">
        <is>
          <t>重賞1頭</t>
        </is>
      </c>
    </row>
    <row r="71">
      <c r="A71" s="31" t="inlineStr">
        <is>
          <t>リオンディーズ</t>
        </is>
      </c>
      <c r="B71" s="31" t="inlineStr">
        <is>
          <t>10頭: 中央勝ち上がり50%・回収≥1が20%・回収中央値0.21</t>
        </is>
      </c>
      <c r="C71" s="31" t="inlineStr">
        <is>
          <t>重賞0頭</t>
        </is>
      </c>
    </row>
    <row r="72">
      <c r="A72" s="31" t="inlineStr">
        <is>
          <t>ドゥラメンテ</t>
        </is>
      </c>
      <c r="B72" s="31" t="inlineStr">
        <is>
          <t>25頭: 中央勝ち上がり40%・回収≥1が20%・回収中央値0.08</t>
        </is>
      </c>
      <c r="C72" s="31" t="inlineStr">
        <is>
          <t>重賞1頭</t>
        </is>
      </c>
    </row>
    <row r="73">
      <c r="A73" s="31" t="inlineStr">
        <is>
          <t>ロードカナロア</t>
        </is>
      </c>
      <c r="B73" s="31" t="inlineStr">
        <is>
          <t>29頭: 中央勝ち上がり52%・回収≥1が17%・回収中央値0.15</t>
        </is>
      </c>
      <c r="C73" s="31" t="inlineStr">
        <is>
          <t>重賞2頭</t>
        </is>
      </c>
    </row>
    <row r="74">
      <c r="A74" s="31" t="inlineStr">
        <is>
          <t>ハーツクライ</t>
        </is>
      </c>
      <c r="B74" s="31" t="inlineStr">
        <is>
          <t>12頭: 中央勝ち上がり42%・回収≥1が17%・回収中央値0.17</t>
        </is>
      </c>
      <c r="C74" s="31" t="inlineStr">
        <is>
          <t>重賞0頭</t>
        </is>
      </c>
    </row>
    <row r="75">
      <c r="A75" s="31" t="inlineStr">
        <is>
          <t>モーリス</t>
        </is>
      </c>
      <c r="B75" s="31" t="inlineStr">
        <is>
          <t>32頭: 中央勝ち上がり59%・回収≥1が16%・回収中央値0.32</t>
        </is>
      </c>
      <c r="C75" s="31" t="inlineStr">
        <is>
          <t>重賞1頭</t>
        </is>
      </c>
    </row>
    <row r="76">
      <c r="A76" s="31" t="inlineStr">
        <is>
          <t>サトノダイヤモンド</t>
        </is>
      </c>
      <c r="B76" s="31" t="inlineStr">
        <is>
          <t>13頭: 中央勝ち上がり54%・回収≥1が15%・回収中央値0.28</t>
        </is>
      </c>
      <c r="C76" s="31" t="inlineStr">
        <is>
          <t>重賞0頭</t>
        </is>
      </c>
    </row>
    <row r="77">
      <c r="A77" s="31" t="inlineStr">
        <is>
          <t>キタサンブラック</t>
        </is>
      </c>
      <c r="B77" s="31" t="inlineStr">
        <is>
          <t>14頭: 中央勝ち上がり36%・回収≥1が14%・回収中央値0.13</t>
        </is>
      </c>
      <c r="C77" s="31" t="inlineStr">
        <is>
          <t>重賞2頭</t>
        </is>
      </c>
    </row>
    <row r="78">
      <c r="A78" s="31" t="inlineStr">
        <is>
          <t>ドレフォン</t>
        </is>
      </c>
      <c r="B78" s="31" t="inlineStr">
        <is>
          <t>22頭: 中央勝ち上がり32%・回収≥1が14%・回収中央値0.26</t>
        </is>
      </c>
      <c r="C78" s="31" t="inlineStr">
        <is>
          <t>重賞0頭</t>
        </is>
      </c>
    </row>
    <row r="79">
      <c r="A79" s="31" t="inlineStr">
        <is>
          <t>ブリックスアンドモルタル</t>
        </is>
      </c>
      <c r="B79" s="31" t="inlineStr">
        <is>
          <t>9頭: 中央勝ち上がり33%・回収≥1が11%・回収中央値0.08</t>
        </is>
      </c>
      <c r="C79" s="31" t="inlineStr">
        <is>
          <t>重賞0頭</t>
        </is>
      </c>
    </row>
    <row r="80">
      <c r="A80" s="31" t="inlineStr">
        <is>
          <t>ミッキーアイル</t>
        </is>
      </c>
      <c r="B80" s="31" t="inlineStr">
        <is>
          <t>9頭: 中央勝ち上がり33%・回収≥1が11%・回収中央値0.27</t>
        </is>
      </c>
      <c r="C80" s="31" t="inlineStr">
        <is>
          <t>重賞0頭</t>
        </is>
      </c>
    </row>
    <row r="81">
      <c r="A81" s="31" t="inlineStr">
        <is>
          <t>ナダル</t>
        </is>
      </c>
      <c r="B81" s="31" t="inlineStr">
        <is>
          <t>10頭: 中央勝ち上がり70%・回収≥1が10%・回収中央値0.6</t>
        </is>
      </c>
      <c r="C81" s="31" t="inlineStr">
        <is>
          <t>重賞0頭</t>
        </is>
      </c>
    </row>
    <row r="82">
      <c r="A82" s="31" t="inlineStr">
        <is>
          <t>サートゥルナーリア</t>
        </is>
      </c>
      <c r="B82" s="31" t="inlineStr">
        <is>
          <t>13頭: 中央勝ち上がり23%・回収≥1が8%・回収中央値0.02</t>
        </is>
      </c>
      <c r="C82" s="31" t="inlineStr">
        <is>
          <t>重賞1頭</t>
        </is>
      </c>
    </row>
    <row r="83">
      <c r="A83" s="31" t="inlineStr">
        <is>
          <t>シルバーステート</t>
        </is>
      </c>
      <c r="B83" s="31" t="inlineStr">
        <is>
          <t>8頭: 中央勝ち上がり62%・回収≥1が0%・回収中央値0.26</t>
        </is>
      </c>
      <c r="C83" s="31" t="inlineStr">
        <is>
          <t>重賞0頭</t>
        </is>
      </c>
    </row>
    <row r="84">
      <c r="A84" s="31" t="inlineStr">
        <is>
          <t>レイデオロ</t>
        </is>
      </c>
      <c r="B84" s="31" t="inlineStr">
        <is>
          <t>17頭: 中央勝ち上がり53%・回収≥1が0%・回収中央値0.22</t>
        </is>
      </c>
      <c r="C84" s="31" t="inlineStr">
        <is>
          <t>重賞0頭</t>
        </is>
      </c>
    </row>
    <row r="85">
      <c r="A85" s="31" t="inlineStr">
        <is>
          <t>※種牡馬の顔ぶれは毎年変わるため参考程度に</t>
        </is>
      </c>
      <c r="B85" s="31" t="inlineStr"/>
      <c r="C85" s="31" t="inlineStr"/>
    </row>
    <row r="86">
      <c r="A86" s="31" t="inlineStr"/>
      <c r="B86" s="31" t="inlineStr"/>
      <c r="C86" s="31" t="inlineStr"/>
    </row>
    <row r="87">
      <c r="A87" s="30" t="inlineStr">
        <is>
          <t>◆注意</t>
        </is>
      </c>
      <c r="B87" s="31" t="inlineStr"/>
      <c r="C87" s="31" t="inlineStr"/>
    </row>
    <row r="88">
      <c r="A88" s="31" t="inlineStr">
        <is>
          <t>・2023年度募集は現4歳・2024年度募集は現3歳。回収率は今後上振れする</t>
        </is>
      </c>
      <c r="B88" s="31" t="inlineStr"/>
      <c r="C88" s="31" t="inlineStr"/>
    </row>
    <row r="89">
      <c r="A89" s="31" t="inlineStr">
        <is>
          <t>・回収率は分母が募集価格なので、安い馬ほど高く出る。価格基準の効果にはその分が含まれる</t>
        </is>
      </c>
      <c r="B89" s="31" t="inlineStr"/>
      <c r="C89" s="31" t="inlineStr"/>
    </row>
    <row r="90">
      <c r="A90" s="31" t="inlineStr">
        <is>
          <t>・地方入厩予定馬（100口）21頭は中央で走らないため基準の導出から外している</t>
        </is>
      </c>
      <c r="B90" s="31" t="inlineStr"/>
      <c r="C90" s="31" t="inlineStr"/>
    </row>
    <row r="91">
      <c r="A91" s="31" t="inlineStr">
        <is>
          <t>・メスは引退後の繁殖価値が回収に含まれていないため、実質はやや過小評価</t>
        </is>
      </c>
      <c r="B91" s="31" t="inlineStr"/>
      <c r="C91" s="31" t="inlineStr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V6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15" zeroHeight="0" outlineLevelRow="0"/>
  <cols>
    <col width="7.8" customWidth="1" style="18" min="1" max="1"/>
    <col width="30.1" customWidth="1" style="18" min="2" max="2"/>
    <col width="13.9" customWidth="1" style="18" min="15" max="16"/>
    <col width="13.9" customWidth="1" style="18" min="19" max="19"/>
  </cols>
  <sheetData>
    <row r="1" ht="15" customHeight="1" s="19">
      <c r="A1" s="24" t="n"/>
      <c r="B1" s="24" t="n"/>
      <c r="C1" s="24" t="n"/>
      <c r="D1" s="24" t="n"/>
      <c r="E1" s="24" t="n"/>
      <c r="F1" s="24" t="n"/>
      <c r="G1" s="32" t="n">
        <v>0.234</v>
      </c>
      <c r="H1" s="24" t="n"/>
      <c r="I1" s="24" t="n"/>
      <c r="J1" s="24" t="n"/>
      <c r="K1" s="24" t="n"/>
      <c r="L1" s="24" t="n"/>
      <c r="M1" s="24" t="n"/>
      <c r="N1" s="25" t="inlineStr">
        <is>
          <t>①母馬最優先</t>
        </is>
      </c>
      <c r="O1" s="24" t="n"/>
      <c r="P1" s="25" t="inlineStr">
        <is>
          <t>②母馬優先</t>
        </is>
      </c>
      <c r="Q1" s="24" t="n"/>
      <c r="R1" s="25" t="inlineStr">
        <is>
          <t>③一般最優先</t>
        </is>
      </c>
      <c r="S1" s="24" t="n"/>
      <c r="T1" s="25" t="inlineStr">
        <is>
          <t>④一般</t>
        </is>
      </c>
      <c r="U1" s="24" t="n"/>
      <c r="V1" s="24" t="n"/>
    </row>
    <row r="2" ht="15" customHeight="1" s="19">
      <c r="A2" s="25" t="inlineStr">
        <is>
          <t>番号</t>
        </is>
      </c>
      <c r="B2" s="25" t="inlineStr">
        <is>
          <t>募集馬名</t>
        </is>
      </c>
      <c r="C2" s="25" t="inlineStr">
        <is>
          <t>総数</t>
        </is>
      </c>
      <c r="D2" s="25" t="inlineStr">
        <is>
          <t>母馬最優先</t>
        </is>
      </c>
      <c r="E2" s="25" t="inlineStr">
        <is>
          <t>母馬</t>
        </is>
      </c>
      <c r="F2" s="25" t="inlineStr">
        <is>
          <t>最優先</t>
        </is>
      </c>
      <c r="G2" s="25" t="inlineStr">
        <is>
          <t>総数</t>
        </is>
      </c>
      <c r="H2" s="25" t="inlineStr">
        <is>
          <t>母馬最優先</t>
        </is>
      </c>
      <c r="I2" s="25" t="inlineStr">
        <is>
          <t>母馬</t>
        </is>
      </c>
      <c r="J2" s="25" t="inlineStr">
        <is>
          <t>最優先</t>
        </is>
      </c>
      <c r="K2" s="25" t="inlineStr">
        <is>
          <t>最優先合計</t>
        </is>
      </c>
      <c r="L2" s="25" t="inlineStr">
        <is>
          <t>母馬合計</t>
        </is>
      </c>
      <c r="M2" s="25" t="inlineStr">
        <is>
          <t>母馬割合</t>
        </is>
      </c>
      <c r="N2" s="25" t="inlineStr">
        <is>
          <t>確率</t>
        </is>
      </c>
      <c r="O2" s="25" t="inlineStr">
        <is>
          <t>残数</t>
        </is>
      </c>
      <c r="P2" s="25" t="inlineStr">
        <is>
          <t>確率</t>
        </is>
      </c>
      <c r="Q2" s="25" t="inlineStr">
        <is>
          <t>残数</t>
        </is>
      </c>
      <c r="R2" s="25" t="inlineStr">
        <is>
          <t>確率</t>
        </is>
      </c>
      <c r="S2" s="25" t="inlineStr">
        <is>
          <t>残数</t>
        </is>
      </c>
      <c r="T2" s="25" t="inlineStr">
        <is>
          <t>確率</t>
        </is>
      </c>
      <c r="U2" s="25" t="inlineStr">
        <is>
          <t>抽選予想</t>
        </is>
      </c>
      <c r="V2" s="25" t="inlineStr">
        <is>
          <t>結果</t>
        </is>
      </c>
    </row>
    <row r="3" ht="15" customHeight="1" s="19">
      <c r="A3" s="24" t="n"/>
      <c r="B3" s="24" t="n"/>
      <c r="C3" s="24" t="n"/>
      <c r="D3" s="24" t="n"/>
      <c r="E3" s="24" t="n"/>
      <c r="F3" s="24" t="n"/>
      <c r="G3" s="24">
        <f>IF($C3="","",C3/$G$1)</f>
        <v/>
      </c>
      <c r="H3" s="24">
        <f>IF($C3="","",D3/$G$1)</f>
        <v/>
      </c>
      <c r="I3" s="24">
        <f>IF($C3="","",E3/$G$1)</f>
        <v/>
      </c>
      <c r="J3" s="24">
        <f>IF($C3="","",F3/$G$1)</f>
        <v/>
      </c>
      <c r="K3" s="24">
        <f>IF($C3="","",H3+J3)</f>
        <v/>
      </c>
      <c r="L3" s="24">
        <f>IF($C3="","",H3+I3)</f>
        <v/>
      </c>
      <c r="M3" s="33">
        <f>IF($C3="","",L3/G3)</f>
        <v/>
      </c>
      <c r="N3" s="34">
        <f>IF($C3="","",200/H3)</f>
        <v/>
      </c>
      <c r="O3" s="24">
        <f>IF($C3="","",IF(H3&gt;200,0,200-H3))</f>
        <v/>
      </c>
      <c r="P3" s="34">
        <f>IF($C3="","",O3/I3)</f>
        <v/>
      </c>
      <c r="Q3" s="24">
        <f>IF($C3="","",IF(IF(I3&gt;O3,0,O3-I3)&gt;200,200,IF(I3&gt;O3,0,O3-I3)+200))</f>
        <v/>
      </c>
      <c r="R3" s="34">
        <f>IF($C3="","",Q3/IF(H3&lt;200,J3,H3-200+J3))</f>
        <v/>
      </c>
      <c r="S3" s="24">
        <f>IF($C3="","",IF(IF(H3&lt;200,J3,H3-200+J3)&gt;Q3,0,Q3-IF(H3&lt;200,J3,H3-200+J3)))</f>
        <v/>
      </c>
      <c r="T3" s="34">
        <f>IF($C3="","",S3/(IF(IF(H3&gt;200,I3,I3-(200-H3))&lt;0,0,IF(H3&gt;200,I3,I3-(200-H3)))+(G3-SUM(H3:J3))))</f>
        <v/>
      </c>
      <c r="U3" s="24" t="n"/>
      <c r="V3" s="24" t="n"/>
    </row>
    <row r="4" ht="15" customHeight="1" s="19">
      <c r="A4" s="24" t="n"/>
      <c r="B4" s="24" t="n"/>
      <c r="C4" s="24" t="n"/>
      <c r="D4" s="24" t="n"/>
      <c r="E4" s="24" t="n"/>
      <c r="F4" s="24" t="n"/>
      <c r="G4" s="24">
        <f>IF($C4="","",C4/$G$1)</f>
        <v/>
      </c>
      <c r="H4" s="24">
        <f>IF($C4="","",D4/$G$1)</f>
        <v/>
      </c>
      <c r="I4" s="24">
        <f>IF($C4="","",E4/$G$1)</f>
        <v/>
      </c>
      <c r="J4" s="24">
        <f>IF($C4="","",F4/$G$1)</f>
        <v/>
      </c>
      <c r="K4" s="24">
        <f>IF($C4="","",H4+J4)</f>
        <v/>
      </c>
      <c r="L4" s="24">
        <f>IF($C4="","",H4+I4)</f>
        <v/>
      </c>
      <c r="M4" s="33">
        <f>IF($C4="","",L4/G4)</f>
        <v/>
      </c>
      <c r="N4" s="34">
        <f>IF($C4="","",200/H4)</f>
        <v/>
      </c>
      <c r="O4" s="24">
        <f>IF($C4="","",IF(H4&gt;200,0,200-H4))</f>
        <v/>
      </c>
      <c r="P4" s="34">
        <f>IF($C4="","",O4/I4)</f>
        <v/>
      </c>
      <c r="Q4" s="24">
        <f>IF($C4="","",IF(IF(I4&gt;O4,0,O4-I4)&gt;200,200,IF(I4&gt;O4,0,O4-I4)+200))</f>
        <v/>
      </c>
      <c r="R4" s="34">
        <f>IF($C4="","",Q4/IF(H4&lt;200,J4,H4-200+J4))</f>
        <v/>
      </c>
      <c r="S4" s="24">
        <f>IF($C4="","",IF(IF(H4&lt;200,J4,H4-200+J4)&gt;Q4,0,Q4-IF(H4&lt;200,J4,H4-200+J4)))</f>
        <v/>
      </c>
      <c r="T4" s="34">
        <f>IF($C4="","",S4/(IF(IF(H4&gt;200,I4,I4-(200-H4))&lt;0,0,IF(H4&gt;200,I4,I4-(200-H4)))+(G4-SUM(H4:J4))))</f>
        <v/>
      </c>
      <c r="U4" s="24" t="n"/>
      <c r="V4" s="24" t="n"/>
    </row>
    <row r="5" ht="15" customHeight="1" s="19">
      <c r="A5" s="24" t="n"/>
      <c r="B5" s="24" t="n"/>
      <c r="C5" s="24" t="n"/>
      <c r="D5" s="24" t="n"/>
      <c r="E5" s="24" t="n"/>
      <c r="F5" s="24" t="n"/>
      <c r="G5" s="24">
        <f>IF($C5="","",C5/$G$1)</f>
        <v/>
      </c>
      <c r="H5" s="24">
        <f>IF($C5="","",D5/$G$1)</f>
        <v/>
      </c>
      <c r="I5" s="24">
        <f>IF($C5="","",E5/$G$1)</f>
        <v/>
      </c>
      <c r="J5" s="24">
        <f>IF($C5="","",F5/$G$1)</f>
        <v/>
      </c>
      <c r="K5" s="24">
        <f>IF($C5="","",H5+J5)</f>
        <v/>
      </c>
      <c r="L5" s="24">
        <f>IF($C5="","",H5+I5)</f>
        <v/>
      </c>
      <c r="M5" s="33">
        <f>IF($C5="","",L5/G5)</f>
        <v/>
      </c>
      <c r="N5" s="34">
        <f>IF($C5="","",200/H5)</f>
        <v/>
      </c>
      <c r="O5" s="24">
        <f>IF($C5="","",IF(H5&gt;200,0,200-H5))</f>
        <v/>
      </c>
      <c r="P5" s="34">
        <f>IF($C5="","",O5/I5)</f>
        <v/>
      </c>
      <c r="Q5" s="24">
        <f>IF($C5="","",IF(IF(I5&gt;O5,0,O5-I5)&gt;200,200,IF(I5&gt;O5,0,O5-I5)+200))</f>
        <v/>
      </c>
      <c r="R5" s="34">
        <f>IF($C5="","",Q5/IF(H5&lt;200,J5,H5-200+J5))</f>
        <v/>
      </c>
      <c r="S5" s="24">
        <f>IF($C5="","",IF(IF(H5&lt;200,J5,H5-200+J5)&gt;Q5,0,Q5-IF(H5&lt;200,J5,H5-200+J5)))</f>
        <v/>
      </c>
      <c r="T5" s="34">
        <f>IF($C5="","",S5/(IF(IF(H5&gt;200,I5,I5-(200-H5))&lt;0,0,IF(H5&gt;200,I5,I5-(200-H5)))+(G5-SUM(H5:J5))))</f>
        <v/>
      </c>
      <c r="U5" s="24" t="n"/>
      <c r="V5" s="24" t="n"/>
    </row>
    <row r="6" ht="15" customHeight="1" s="19">
      <c r="A6" s="24" t="n"/>
      <c r="B6" s="24" t="n"/>
      <c r="C6" s="24" t="n"/>
      <c r="D6" s="24" t="n"/>
      <c r="E6" s="24" t="n"/>
      <c r="F6" s="24" t="n"/>
      <c r="G6" s="24">
        <f>IF($C6="","",C6/$G$1)</f>
        <v/>
      </c>
      <c r="H6" s="24">
        <f>IF($C6="","",D6/$G$1)</f>
        <v/>
      </c>
      <c r="I6" s="24">
        <f>IF($C6="","",E6/$G$1)</f>
        <v/>
      </c>
      <c r="J6" s="24">
        <f>IF($C6="","",F6/$G$1)</f>
        <v/>
      </c>
      <c r="K6" s="24">
        <f>IF($C6="","",H6+J6)</f>
        <v/>
      </c>
      <c r="L6" s="24">
        <f>IF($C6="","",H6+I6)</f>
        <v/>
      </c>
      <c r="M6" s="33">
        <f>IF($C6="","",L6/G6)</f>
        <v/>
      </c>
      <c r="N6" s="34">
        <f>IF($C6="","",200/H6)</f>
        <v/>
      </c>
      <c r="O6" s="24">
        <f>IF($C6="","",IF(H6&gt;200,0,200-H6))</f>
        <v/>
      </c>
      <c r="P6" s="34">
        <f>IF($C6="","",O6/I6)</f>
        <v/>
      </c>
      <c r="Q6" s="24">
        <f>IF($C6="","",IF(IF(I6&gt;O6,0,O6-I6)&gt;200,200,IF(I6&gt;O6,0,O6-I6)+200))</f>
        <v/>
      </c>
      <c r="R6" s="34">
        <f>IF($C6="","",Q6/IF(H6&lt;200,J6,H6-200+J6))</f>
        <v/>
      </c>
      <c r="S6" s="24">
        <f>IF($C6="","",IF(IF(H6&lt;200,J6,H6-200+J6)&gt;Q6,0,Q6-IF(H6&lt;200,J6,H6-200+J6)))</f>
        <v/>
      </c>
      <c r="T6" s="34">
        <f>IF($C6="","",S6/(IF(IF(H6&gt;200,I6,I6-(200-H6))&lt;0,0,IF(H6&gt;200,I6,I6-(200-H6)))+(G6-SUM(H6:J6))))</f>
        <v/>
      </c>
      <c r="U6" s="24" t="n"/>
      <c r="V6" s="24" t="n"/>
    </row>
    <row r="7" ht="15" customHeight="1" s="19">
      <c r="A7" s="24" t="n"/>
      <c r="B7" s="24" t="n"/>
      <c r="C7" s="24" t="n"/>
      <c r="D7" s="24" t="n"/>
      <c r="E7" s="24" t="n"/>
      <c r="F7" s="24" t="n"/>
      <c r="G7" s="24">
        <f>IF($C7="","",C7/$G$1)</f>
        <v/>
      </c>
      <c r="H7" s="24">
        <f>IF($C7="","",D7/$G$1)</f>
        <v/>
      </c>
      <c r="I7" s="24">
        <f>IF($C7="","",E7/$G$1)</f>
        <v/>
      </c>
      <c r="J7" s="24">
        <f>IF($C7="","",F7/$G$1)</f>
        <v/>
      </c>
      <c r="K7" s="24">
        <f>IF($C7="","",H7+J7)</f>
        <v/>
      </c>
      <c r="L7" s="24">
        <f>IF($C7="","",H7+I7)</f>
        <v/>
      </c>
      <c r="M7" s="33">
        <f>IF($C7="","",L7/G7)</f>
        <v/>
      </c>
      <c r="N7" s="34">
        <f>IF($C7="","",200/H7)</f>
        <v/>
      </c>
      <c r="O7" s="24">
        <f>IF($C7="","",IF(H7&gt;200,0,200-H7))</f>
        <v/>
      </c>
      <c r="P7" s="34">
        <f>IF($C7="","",O7/I7)</f>
        <v/>
      </c>
      <c r="Q7" s="24">
        <f>IF($C7="","",IF(IF(I7&gt;O7,0,O7-I7)&gt;200,200,IF(I7&gt;O7,0,O7-I7)+200))</f>
        <v/>
      </c>
      <c r="R7" s="34">
        <f>IF($C7="","",Q7/IF(H7&lt;200,J7,H7-200+J7))</f>
        <v/>
      </c>
      <c r="S7" s="24">
        <f>IF($C7="","",IF(IF(H7&lt;200,J7,H7-200+J7)&gt;Q7,0,Q7-IF(H7&lt;200,J7,H7-200+J7)))</f>
        <v/>
      </c>
      <c r="T7" s="34">
        <f>IF($C7="","",S7/(IF(IF(H7&gt;200,I7,I7-(200-H7))&lt;0,0,IF(H7&gt;200,I7,I7-(200-H7)))+(G7-SUM(H7:J7))))</f>
        <v/>
      </c>
      <c r="U7" s="24" t="n"/>
      <c r="V7" s="24" t="n"/>
    </row>
    <row r="8" ht="15" customHeight="1" s="19">
      <c r="A8" s="24" t="n"/>
      <c r="B8" s="24" t="n"/>
      <c r="C8" s="24" t="n"/>
      <c r="D8" s="24" t="n"/>
      <c r="E8" s="24" t="n"/>
      <c r="F8" s="24" t="n"/>
      <c r="G8" s="24">
        <f>IF($C8="","",C8/$G$1)</f>
        <v/>
      </c>
      <c r="H8" s="24">
        <f>IF($C8="","",D8/$G$1)</f>
        <v/>
      </c>
      <c r="I8" s="24">
        <f>IF($C8="","",E8/$G$1)</f>
        <v/>
      </c>
      <c r="J8" s="24">
        <f>IF($C8="","",F8/$G$1)</f>
        <v/>
      </c>
      <c r="K8" s="24">
        <f>IF($C8="","",H8+J8)</f>
        <v/>
      </c>
      <c r="L8" s="24">
        <f>IF($C8="","",H8+I8)</f>
        <v/>
      </c>
      <c r="M8" s="33">
        <f>IF($C8="","",L8/G8)</f>
        <v/>
      </c>
      <c r="N8" s="34">
        <f>IF($C8="","",200/H8)</f>
        <v/>
      </c>
      <c r="O8" s="24">
        <f>IF($C8="","",IF(H8&gt;200,0,200-H8))</f>
        <v/>
      </c>
      <c r="P8" s="34">
        <f>IF($C8="","",O8/I8)</f>
        <v/>
      </c>
      <c r="Q8" s="24">
        <f>IF($C8="","",IF(IF(I8&gt;O8,0,O8-I8)&gt;200,200,IF(I8&gt;O8,0,O8-I8)+200))</f>
        <v/>
      </c>
      <c r="R8" s="34">
        <f>IF($C8="","",Q8/IF(H8&lt;200,J8,H8-200+J8))</f>
        <v/>
      </c>
      <c r="S8" s="24">
        <f>IF($C8="","",IF(IF(H8&lt;200,J8,H8-200+J8)&gt;Q8,0,Q8-IF(H8&lt;200,J8,H8-200+J8)))</f>
        <v/>
      </c>
      <c r="T8" s="34">
        <f>IF($C8="","",S8/(IF(IF(H8&gt;200,I8,I8-(200-H8))&lt;0,0,IF(H8&gt;200,I8,I8-(200-H8)))+(G8-SUM(H8:J8))))</f>
        <v/>
      </c>
      <c r="U8" s="24" t="n"/>
      <c r="V8" s="24" t="n"/>
    </row>
    <row r="9" ht="15" customHeight="1" s="19">
      <c r="A9" s="24" t="n"/>
      <c r="B9" s="24" t="n"/>
      <c r="C9" s="24" t="n"/>
      <c r="D9" s="24" t="n"/>
      <c r="E9" s="24" t="n"/>
      <c r="F9" s="24" t="n"/>
      <c r="G9" s="24">
        <f>IF($C9="","",C9/$G$1)</f>
        <v/>
      </c>
      <c r="H9" s="24">
        <f>IF($C9="","",D9/$G$1)</f>
        <v/>
      </c>
      <c r="I9" s="24">
        <f>IF($C9="","",E9/$G$1)</f>
        <v/>
      </c>
      <c r="J9" s="24">
        <f>IF($C9="","",F9/$G$1)</f>
        <v/>
      </c>
      <c r="K9" s="24">
        <f>IF($C9="","",H9+J9)</f>
        <v/>
      </c>
      <c r="L9" s="24">
        <f>IF($C9="","",H9+I9)</f>
        <v/>
      </c>
      <c r="M9" s="33">
        <f>IF($C9="","",L9/G9)</f>
        <v/>
      </c>
      <c r="N9" s="34">
        <f>IF($C9="","",200/H9)</f>
        <v/>
      </c>
      <c r="O9" s="24">
        <f>IF($C9="","",IF(H9&gt;200,0,200-H9))</f>
        <v/>
      </c>
      <c r="P9" s="34">
        <f>IF($C9="","",O9/I9)</f>
        <v/>
      </c>
      <c r="Q9" s="24">
        <f>IF($C9="","",IF(IF(I9&gt;O9,0,O9-I9)&gt;200,200,IF(I9&gt;O9,0,O9-I9)+200))</f>
        <v/>
      </c>
      <c r="R9" s="34">
        <f>IF($C9="","",Q9/IF(H9&lt;200,J9,H9-200+J9))</f>
        <v/>
      </c>
      <c r="S9" s="24">
        <f>IF($C9="","",IF(IF(H9&lt;200,J9,H9-200+J9)&gt;Q9,0,Q9-IF(H9&lt;200,J9,H9-200+J9)))</f>
        <v/>
      </c>
      <c r="T9" s="34">
        <f>IF($C9="","",S9/(IF(IF(H9&gt;200,I9,I9-(200-H9))&lt;0,0,IF(H9&gt;200,I9,I9-(200-H9)))+(G9-SUM(H9:J9))))</f>
        <v/>
      </c>
      <c r="U9" s="24" t="n"/>
      <c r="V9" s="24" t="n"/>
    </row>
    <row r="10" ht="15" customHeight="1" s="19">
      <c r="A10" s="24" t="n"/>
      <c r="B10" s="24" t="n"/>
      <c r="C10" s="24" t="n"/>
      <c r="D10" s="24" t="n"/>
      <c r="E10" s="24" t="n"/>
      <c r="F10" s="24" t="n"/>
      <c r="G10" s="24">
        <f>IF($C10="","",C10/$G$1)</f>
        <v/>
      </c>
      <c r="H10" s="24">
        <f>IF($C10="","",D10/$G$1)</f>
        <v/>
      </c>
      <c r="I10" s="24">
        <f>IF($C10="","",E10/$G$1)</f>
        <v/>
      </c>
      <c r="J10" s="24">
        <f>IF($C10="","",F10/$G$1)</f>
        <v/>
      </c>
      <c r="K10" s="24">
        <f>IF($C10="","",H10+J10)</f>
        <v/>
      </c>
      <c r="L10" s="24">
        <f>IF($C10="","",H10+I10)</f>
        <v/>
      </c>
      <c r="M10" s="33">
        <f>IF($C10="","",L10/G10)</f>
        <v/>
      </c>
      <c r="N10" s="34">
        <f>IF($C10="","",200/H10)</f>
        <v/>
      </c>
      <c r="O10" s="24">
        <f>IF($C10="","",IF(H10&gt;200,0,200-H10))</f>
        <v/>
      </c>
      <c r="P10" s="34">
        <f>IF($C10="","",O10/I10)</f>
        <v/>
      </c>
      <c r="Q10" s="24">
        <f>IF($C10="","",IF(IF(I10&gt;O10,0,O10-I10)&gt;200,200,IF(I10&gt;O10,0,O10-I10)+200))</f>
        <v/>
      </c>
      <c r="R10" s="34">
        <f>IF($C10="","",Q10/IF(H10&lt;200,J10,H10-200+J10))</f>
        <v/>
      </c>
      <c r="S10" s="24">
        <f>IF($C10="","",IF(IF(H10&lt;200,J10,H10-200+J10)&gt;Q10,0,Q10-IF(H10&lt;200,J10,H10-200+J10)))</f>
        <v/>
      </c>
      <c r="T10" s="34">
        <f>IF($C10="","",S10/(IF(IF(H10&gt;200,I10,I10-(200-H10))&lt;0,0,IF(H10&gt;200,I10,I10-(200-H10)))+(G10-SUM(H10:J10))))</f>
        <v/>
      </c>
      <c r="U10" s="24" t="n"/>
      <c r="V10" s="24" t="n"/>
    </row>
    <row r="11" ht="15" customHeight="1" s="19">
      <c r="A11" s="24" t="n"/>
      <c r="B11" s="24" t="n"/>
      <c r="C11" s="24" t="n"/>
      <c r="D11" s="24" t="n"/>
      <c r="E11" s="24" t="n"/>
      <c r="F11" s="24" t="n"/>
      <c r="G11" s="24">
        <f>IF($C11="","",C11/$G$1)</f>
        <v/>
      </c>
      <c r="H11" s="24">
        <f>IF($C11="","",D11/$G$1)</f>
        <v/>
      </c>
      <c r="I11" s="24">
        <f>IF($C11="","",E11/$G$1)</f>
        <v/>
      </c>
      <c r="J11" s="24">
        <f>IF($C11="","",F11/$G$1)</f>
        <v/>
      </c>
      <c r="K11" s="24">
        <f>IF($C11="","",H11+J11)</f>
        <v/>
      </c>
      <c r="L11" s="24">
        <f>IF($C11="","",H11+I11)</f>
        <v/>
      </c>
      <c r="M11" s="33">
        <f>IF($C11="","",L11/G11)</f>
        <v/>
      </c>
      <c r="N11" s="34">
        <f>IF($C11="","",200/H11)</f>
        <v/>
      </c>
      <c r="O11" s="24">
        <f>IF($C11="","",IF(H11&gt;200,0,200-H11))</f>
        <v/>
      </c>
      <c r="P11" s="34">
        <f>IF($C11="","",O11/I11)</f>
        <v/>
      </c>
      <c r="Q11" s="24">
        <f>IF($C11="","",IF(IF(I11&gt;O11,0,O11-I11)&gt;200,200,IF(I11&gt;O11,0,O11-I11)+200))</f>
        <v/>
      </c>
      <c r="R11" s="34">
        <f>IF($C11="","",Q11/IF(H11&lt;200,J11,H11-200+J11))</f>
        <v/>
      </c>
      <c r="S11" s="24">
        <f>IF($C11="","",IF(IF(H11&lt;200,J11,H11-200+J11)&gt;Q11,0,Q11-IF(H11&lt;200,J11,H11-200+J11)))</f>
        <v/>
      </c>
      <c r="T11" s="34">
        <f>IF($C11="","",S11/(IF(IF(H11&gt;200,I11,I11-(200-H11))&lt;0,0,IF(H11&gt;200,I11,I11-(200-H11)))+(G11-SUM(H11:J11))))</f>
        <v/>
      </c>
      <c r="U11" s="24" t="n"/>
      <c r="V11" s="24" t="n"/>
    </row>
    <row r="12" ht="15" customHeight="1" s="19">
      <c r="A12" s="24" t="n"/>
      <c r="B12" s="24" t="n"/>
      <c r="C12" s="24" t="n"/>
      <c r="D12" s="24" t="n"/>
      <c r="E12" s="24" t="n"/>
      <c r="F12" s="24" t="n"/>
      <c r="G12" s="24">
        <f>IF($C12="","",C12/$G$1)</f>
        <v/>
      </c>
      <c r="H12" s="24">
        <f>IF($C12="","",D12/$G$1)</f>
        <v/>
      </c>
      <c r="I12" s="24">
        <f>IF($C12="","",E12/$G$1)</f>
        <v/>
      </c>
      <c r="J12" s="24">
        <f>IF($C12="","",F12/$G$1)</f>
        <v/>
      </c>
      <c r="K12" s="24">
        <f>IF($C12="","",H12+J12)</f>
        <v/>
      </c>
      <c r="L12" s="24">
        <f>IF($C12="","",H12+I12)</f>
        <v/>
      </c>
      <c r="M12" s="33">
        <f>IF($C12="","",L12/G12)</f>
        <v/>
      </c>
      <c r="N12" s="34">
        <f>IF($C12="","",200/H12)</f>
        <v/>
      </c>
      <c r="O12" s="24">
        <f>IF($C12="","",IF(H12&gt;200,0,200-H12))</f>
        <v/>
      </c>
      <c r="P12" s="34">
        <f>IF($C12="","",O12/I12)</f>
        <v/>
      </c>
      <c r="Q12" s="24">
        <f>IF($C12="","",IF(IF(I12&gt;O12,0,O12-I12)&gt;200,200,IF(I12&gt;O12,0,O12-I12)+200))</f>
        <v/>
      </c>
      <c r="R12" s="34">
        <f>IF($C12="","",Q12/IF(H12&lt;200,J12,H12-200+J12))</f>
        <v/>
      </c>
      <c r="S12" s="24">
        <f>IF($C12="","",IF(IF(H12&lt;200,J12,H12-200+J12)&gt;Q12,0,Q12-IF(H12&lt;200,J12,H12-200+J12)))</f>
        <v/>
      </c>
      <c r="T12" s="34">
        <f>IF($C12="","",S12/(IF(IF(H12&gt;200,I12,I12-(200-H12))&lt;0,0,IF(H12&gt;200,I12,I12-(200-H12)))+(G12-SUM(H12:J12))))</f>
        <v/>
      </c>
      <c r="U12" s="24" t="n"/>
      <c r="V12" s="24" t="n"/>
    </row>
    <row r="13" ht="15" customHeight="1" s="19">
      <c r="A13" s="24" t="n"/>
      <c r="B13" s="24" t="n"/>
      <c r="C13" s="24" t="n"/>
      <c r="D13" s="24" t="n"/>
      <c r="E13" s="24" t="n"/>
      <c r="F13" s="24" t="n"/>
      <c r="G13" s="24">
        <f>IF($C13="","",C13/$G$1)</f>
        <v/>
      </c>
      <c r="H13" s="24">
        <f>IF($C13="","",D13/$G$1)</f>
        <v/>
      </c>
      <c r="I13" s="24">
        <f>IF($C13="","",E13/$G$1)</f>
        <v/>
      </c>
      <c r="J13" s="24">
        <f>IF($C13="","",F13/$G$1)</f>
        <v/>
      </c>
      <c r="K13" s="24">
        <f>IF($C13="","",H13+J13)</f>
        <v/>
      </c>
      <c r="L13" s="24">
        <f>IF($C13="","",H13+I13)</f>
        <v/>
      </c>
      <c r="M13" s="33">
        <f>IF($C13="","",L13/G13)</f>
        <v/>
      </c>
      <c r="N13" s="34">
        <f>IF($C13="","",200/H13)</f>
        <v/>
      </c>
      <c r="O13" s="24">
        <f>IF($C13="","",IF(H13&gt;200,0,200-H13))</f>
        <v/>
      </c>
      <c r="P13" s="34">
        <f>IF($C13="","",O13/I13)</f>
        <v/>
      </c>
      <c r="Q13" s="24">
        <f>IF($C13="","",IF(IF(I13&gt;O13,0,O13-I13)&gt;200,200,IF(I13&gt;O13,0,O13-I13)+200))</f>
        <v/>
      </c>
      <c r="R13" s="34">
        <f>IF($C13="","",Q13/IF(H13&lt;200,J13,H13-200+J13))</f>
        <v/>
      </c>
      <c r="S13" s="24">
        <f>IF($C13="","",IF(IF(H13&lt;200,J13,H13-200+J13)&gt;Q13,0,Q13-IF(H13&lt;200,J13,H13-200+J13)))</f>
        <v/>
      </c>
      <c r="T13" s="34">
        <f>IF($C13="","",S13/(IF(IF(H13&gt;200,I13,I13-(200-H13))&lt;0,0,IF(H13&gt;200,I13,I13-(200-H13)))+(G13-SUM(H13:J13))))</f>
        <v/>
      </c>
      <c r="U13" s="24" t="n"/>
      <c r="V13" s="24" t="n"/>
    </row>
    <row r="14" ht="15" customHeight="1" s="19">
      <c r="A14" s="24" t="n"/>
      <c r="B14" s="24" t="n"/>
      <c r="C14" s="24" t="n"/>
      <c r="D14" s="24" t="n"/>
      <c r="E14" s="24" t="n"/>
      <c r="F14" s="24" t="n"/>
      <c r="G14" s="24">
        <f>IF($C14="","",C14/$G$1)</f>
        <v/>
      </c>
      <c r="H14" s="24">
        <f>IF($C14="","",D14/$G$1)</f>
        <v/>
      </c>
      <c r="I14" s="24">
        <f>IF($C14="","",E14/$G$1)</f>
        <v/>
      </c>
      <c r="J14" s="24">
        <f>IF($C14="","",F14/$G$1)</f>
        <v/>
      </c>
      <c r="K14" s="24">
        <f>IF($C14="","",H14+J14)</f>
        <v/>
      </c>
      <c r="L14" s="24">
        <f>IF($C14="","",H14+I14)</f>
        <v/>
      </c>
      <c r="M14" s="33">
        <f>IF($C14="","",L14/G14)</f>
        <v/>
      </c>
      <c r="N14" s="34">
        <f>IF($C14="","",200/H14)</f>
        <v/>
      </c>
      <c r="O14" s="24">
        <f>IF($C14="","",IF(H14&gt;200,0,200-H14))</f>
        <v/>
      </c>
      <c r="P14" s="34">
        <f>IF($C14="","",O14/I14)</f>
        <v/>
      </c>
      <c r="Q14" s="24">
        <f>IF($C14="","",IF(IF(I14&gt;O14,0,O14-I14)&gt;200,200,IF(I14&gt;O14,0,O14-I14)+200))</f>
        <v/>
      </c>
      <c r="R14" s="34">
        <f>IF($C14="","",Q14/IF(H14&lt;200,J14,H14-200+J14))</f>
        <v/>
      </c>
      <c r="S14" s="24">
        <f>IF($C14="","",IF(IF(H14&lt;200,J14,H14-200+J14)&gt;Q14,0,Q14-IF(H14&lt;200,J14,H14-200+J14)))</f>
        <v/>
      </c>
      <c r="T14" s="34">
        <f>IF($C14="","",S14/(IF(IF(H14&gt;200,I14,I14-(200-H14))&lt;0,0,IF(H14&gt;200,I14,I14-(200-H14)))+(G14-SUM(H14:J14))))</f>
        <v/>
      </c>
      <c r="U14" s="24" t="n"/>
      <c r="V14" s="24" t="n"/>
    </row>
    <row r="15" ht="15" customHeight="1" s="19">
      <c r="A15" s="24" t="n"/>
      <c r="B15" s="24" t="n"/>
      <c r="C15" s="24" t="n"/>
      <c r="D15" s="24" t="n"/>
      <c r="E15" s="24" t="n"/>
      <c r="F15" s="24" t="n"/>
      <c r="G15" s="24">
        <f>IF($C15="","",C15/$G$1)</f>
        <v/>
      </c>
      <c r="H15" s="24">
        <f>IF($C15="","",D15/$G$1)</f>
        <v/>
      </c>
      <c r="I15" s="24">
        <f>IF($C15="","",E15/$G$1)</f>
        <v/>
      </c>
      <c r="J15" s="24">
        <f>IF($C15="","",F15/$G$1)</f>
        <v/>
      </c>
      <c r="K15" s="24">
        <f>IF($C15="","",H15+J15)</f>
        <v/>
      </c>
      <c r="L15" s="24">
        <f>IF($C15="","",H15+I15)</f>
        <v/>
      </c>
      <c r="M15" s="33">
        <f>IF($C15="","",L15/G15)</f>
        <v/>
      </c>
      <c r="N15" s="34">
        <f>IF($C15="","",200/H15)</f>
        <v/>
      </c>
      <c r="O15" s="24">
        <f>IF($C15="","",IF(H15&gt;200,0,200-H15))</f>
        <v/>
      </c>
      <c r="P15" s="34">
        <f>IF($C15="","",O15/I15)</f>
        <v/>
      </c>
      <c r="Q15" s="24">
        <f>IF($C15="","",IF(IF(I15&gt;O15,0,O15-I15)&gt;200,200,IF(I15&gt;O15,0,O15-I15)+200))</f>
        <v/>
      </c>
      <c r="R15" s="34">
        <f>IF($C15="","",Q15/IF(H15&lt;200,J15,H15-200+J15))</f>
        <v/>
      </c>
      <c r="S15" s="24">
        <f>IF($C15="","",IF(IF(H15&lt;200,J15,H15-200+J15)&gt;Q15,0,Q15-IF(H15&lt;200,J15,H15-200+J15)))</f>
        <v/>
      </c>
      <c r="T15" s="34">
        <f>IF($C15="","",S15/(IF(IF(H15&gt;200,I15,I15-(200-H15))&lt;0,0,IF(H15&gt;200,I15,I15-(200-H15)))+(G15-SUM(H15:J15))))</f>
        <v/>
      </c>
      <c r="U15" s="24" t="n"/>
      <c r="V15" s="24" t="n"/>
    </row>
    <row r="16" ht="15" customHeight="1" s="19">
      <c r="A16" s="24" t="n"/>
      <c r="B16" s="24" t="n"/>
      <c r="C16" s="24" t="n"/>
      <c r="D16" s="24" t="n"/>
      <c r="E16" s="24" t="n"/>
      <c r="F16" s="24" t="n"/>
      <c r="G16" s="24">
        <f>IF($C16="","",C16/$G$1)</f>
        <v/>
      </c>
      <c r="H16" s="24">
        <f>IF($C16="","",D16/$G$1)</f>
        <v/>
      </c>
      <c r="I16" s="24">
        <f>IF($C16="","",E16/$G$1)</f>
        <v/>
      </c>
      <c r="J16" s="24">
        <f>IF($C16="","",F16/$G$1)</f>
        <v/>
      </c>
      <c r="K16" s="24">
        <f>IF($C16="","",H16+J16)</f>
        <v/>
      </c>
      <c r="L16" s="24">
        <f>IF($C16="","",H16+I16)</f>
        <v/>
      </c>
      <c r="M16" s="33">
        <f>IF($C16="","",L16/G16)</f>
        <v/>
      </c>
      <c r="N16" s="34">
        <f>IF($C16="","",200/H16)</f>
        <v/>
      </c>
      <c r="O16" s="24">
        <f>IF($C16="","",IF(H16&gt;200,0,200-H16))</f>
        <v/>
      </c>
      <c r="P16" s="34">
        <f>IF($C16="","",O16/I16)</f>
        <v/>
      </c>
      <c r="Q16" s="24">
        <f>IF($C16="","",IF(IF(I16&gt;O16,0,O16-I16)&gt;200,200,IF(I16&gt;O16,0,O16-I16)+200))</f>
        <v/>
      </c>
      <c r="R16" s="34">
        <f>IF($C16="","",Q16/IF(H16&lt;200,J16,H16-200+J16))</f>
        <v/>
      </c>
      <c r="S16" s="24">
        <f>IF($C16="","",IF(IF(H16&lt;200,J16,H16-200+J16)&gt;Q16,0,Q16-IF(H16&lt;200,J16,H16-200+J16)))</f>
        <v/>
      </c>
      <c r="T16" s="34">
        <f>IF($C16="","",S16/(IF(IF(H16&gt;200,I16,I16-(200-H16))&lt;0,0,IF(H16&gt;200,I16,I16-(200-H16)))+(G16-SUM(H16:J16))))</f>
        <v/>
      </c>
      <c r="U16" s="24" t="n"/>
      <c r="V16" s="24" t="n"/>
    </row>
    <row r="17" ht="15" customHeight="1" s="19">
      <c r="A17" s="24" t="n"/>
      <c r="B17" s="24" t="n"/>
      <c r="C17" s="24" t="n"/>
      <c r="D17" s="24" t="n"/>
      <c r="E17" s="24" t="n"/>
      <c r="F17" s="24" t="n"/>
      <c r="G17" s="24">
        <f>IF($C17="","",C17/$G$1)</f>
        <v/>
      </c>
      <c r="H17" s="24">
        <f>IF($C17="","",D17/$G$1)</f>
        <v/>
      </c>
      <c r="I17" s="24">
        <f>IF($C17="","",E17/$G$1)</f>
        <v/>
      </c>
      <c r="J17" s="24">
        <f>IF($C17="","",F17/$G$1)</f>
        <v/>
      </c>
      <c r="K17" s="24">
        <f>IF($C17="","",H17+J17)</f>
        <v/>
      </c>
      <c r="L17" s="24">
        <f>IF($C17="","",H17+I17)</f>
        <v/>
      </c>
      <c r="M17" s="33">
        <f>IF($C17="","",L17/G17)</f>
        <v/>
      </c>
      <c r="N17" s="34">
        <f>IF($C17="","",200/H17)</f>
        <v/>
      </c>
      <c r="O17" s="24">
        <f>IF($C17="","",IF(H17&gt;200,0,200-H17))</f>
        <v/>
      </c>
      <c r="P17" s="34">
        <f>IF($C17="","",O17/I17)</f>
        <v/>
      </c>
      <c r="Q17" s="24">
        <f>IF($C17="","",IF(IF(I17&gt;O17,0,O17-I17)&gt;200,200,IF(I17&gt;O17,0,O17-I17)+200))</f>
        <v/>
      </c>
      <c r="R17" s="34">
        <f>IF($C17="","",Q17/IF(H17&lt;200,J17,H17-200+J17))</f>
        <v/>
      </c>
      <c r="S17" s="24">
        <f>IF($C17="","",IF(IF(H17&lt;200,J17,H17-200+J17)&gt;Q17,0,Q17-IF(H17&lt;200,J17,H17-200+J17)))</f>
        <v/>
      </c>
      <c r="T17" s="34">
        <f>IF($C17="","",S17/(IF(IF(H17&gt;200,I17,I17-(200-H17))&lt;0,0,IF(H17&gt;200,I17,I17-(200-H17)))+(G17-SUM(H17:J17))))</f>
        <v/>
      </c>
      <c r="U17" s="24" t="n"/>
      <c r="V17" s="24" t="n"/>
    </row>
    <row r="18" ht="15" customHeight="1" s="19">
      <c r="A18" s="24" t="n"/>
      <c r="B18" s="24" t="n"/>
      <c r="C18" s="24" t="n"/>
      <c r="D18" s="24" t="n"/>
      <c r="E18" s="24" t="n"/>
      <c r="F18" s="24" t="n"/>
      <c r="G18" s="24">
        <f>IF($C18="","",C18/$G$1)</f>
        <v/>
      </c>
      <c r="H18" s="24">
        <f>IF($C18="","",D18/$G$1)</f>
        <v/>
      </c>
      <c r="I18" s="24">
        <f>IF($C18="","",E18/$G$1)</f>
        <v/>
      </c>
      <c r="J18" s="24">
        <f>IF($C18="","",F18/$G$1)</f>
        <v/>
      </c>
      <c r="K18" s="24">
        <f>IF($C18="","",H18+J18)</f>
        <v/>
      </c>
      <c r="L18" s="24">
        <f>IF($C18="","",H18+I18)</f>
        <v/>
      </c>
      <c r="M18" s="33">
        <f>IF($C18="","",L18/G18)</f>
        <v/>
      </c>
      <c r="N18" s="34">
        <f>IF($C18="","",200/H18)</f>
        <v/>
      </c>
      <c r="O18" s="24">
        <f>IF($C18="","",IF(H18&gt;200,0,200-H18))</f>
        <v/>
      </c>
      <c r="P18" s="34">
        <f>IF($C18="","",O18/I18)</f>
        <v/>
      </c>
      <c r="Q18" s="24">
        <f>IF($C18="","",IF(IF(I18&gt;O18,0,O18-I18)&gt;200,200,IF(I18&gt;O18,0,O18-I18)+200))</f>
        <v/>
      </c>
      <c r="R18" s="34">
        <f>IF($C18="","",Q18/IF(H18&lt;200,J18,H18-200+J18))</f>
        <v/>
      </c>
      <c r="S18" s="24">
        <f>IF($C18="","",IF(IF(H18&lt;200,J18,H18-200+J18)&gt;Q18,0,Q18-IF(H18&lt;200,J18,H18-200+J18)))</f>
        <v/>
      </c>
      <c r="T18" s="34">
        <f>IF($C18="","",S18/(IF(IF(H18&gt;200,I18,I18-(200-H18))&lt;0,0,IF(H18&gt;200,I18,I18-(200-H18)))+(G18-SUM(H18:J18))))</f>
        <v/>
      </c>
      <c r="U18" s="24" t="n"/>
      <c r="V18" s="24" t="n"/>
    </row>
    <row r="19" ht="15" customHeight="1" s="19">
      <c r="A19" s="24" t="n"/>
      <c r="B19" s="24" t="n"/>
      <c r="C19" s="24" t="n"/>
      <c r="D19" s="24" t="n"/>
      <c r="E19" s="24" t="n"/>
      <c r="F19" s="24" t="n"/>
      <c r="G19" s="24">
        <f>IF($C19="","",C19/$G$1)</f>
        <v/>
      </c>
      <c r="H19" s="24">
        <f>IF($C19="","",D19/$G$1)</f>
        <v/>
      </c>
      <c r="I19" s="24">
        <f>IF($C19="","",E19/$G$1)</f>
        <v/>
      </c>
      <c r="J19" s="24">
        <f>IF($C19="","",F19/$G$1)</f>
        <v/>
      </c>
      <c r="K19" s="24">
        <f>IF($C19="","",H19+J19)</f>
        <v/>
      </c>
      <c r="L19" s="24">
        <f>IF($C19="","",H19+I19)</f>
        <v/>
      </c>
      <c r="M19" s="33">
        <f>IF($C19="","",L19/G19)</f>
        <v/>
      </c>
      <c r="N19" s="34">
        <f>IF($C19="","",200/H19)</f>
        <v/>
      </c>
      <c r="O19" s="24">
        <f>IF($C19="","",IF(H19&gt;200,0,200-H19))</f>
        <v/>
      </c>
      <c r="P19" s="34">
        <f>IF($C19="","",O19/I19)</f>
        <v/>
      </c>
      <c r="Q19" s="24">
        <f>IF($C19="","",IF(IF(I19&gt;O19,0,O19-I19)&gt;200,200,IF(I19&gt;O19,0,O19-I19)+200))</f>
        <v/>
      </c>
      <c r="R19" s="34">
        <f>IF($C19="","",Q19/IF(H19&lt;200,J19,H19-200+J19))</f>
        <v/>
      </c>
      <c r="S19" s="24">
        <f>IF($C19="","",IF(IF(H19&lt;200,J19,H19-200+J19)&gt;Q19,0,Q19-IF(H19&lt;200,J19,H19-200+J19)))</f>
        <v/>
      </c>
      <c r="T19" s="34">
        <f>IF($C19="","",S19/(IF(IF(H19&gt;200,I19,I19-(200-H19))&lt;0,0,IF(H19&gt;200,I19,I19-(200-H19)))+(G19-SUM(H19:J19))))</f>
        <v/>
      </c>
      <c r="U19" s="24" t="n"/>
      <c r="V19" s="24" t="n"/>
    </row>
    <row r="20" ht="15" customHeight="1" s="19">
      <c r="A20" s="24" t="n"/>
      <c r="B20" s="24" t="n"/>
      <c r="C20" s="24" t="n"/>
      <c r="D20" s="24" t="n"/>
      <c r="E20" s="24" t="n"/>
      <c r="F20" s="24" t="n"/>
      <c r="G20" s="24">
        <f>IF($C20="","",C20/$G$1)</f>
        <v/>
      </c>
      <c r="H20" s="24">
        <f>IF($C20="","",D20/$G$1)</f>
        <v/>
      </c>
      <c r="I20" s="24">
        <f>IF($C20="","",E20/$G$1)</f>
        <v/>
      </c>
      <c r="J20" s="24">
        <f>IF($C20="","",F20/$G$1)</f>
        <v/>
      </c>
      <c r="K20" s="24">
        <f>IF($C20="","",H20+J20)</f>
        <v/>
      </c>
      <c r="L20" s="24">
        <f>IF($C20="","",H20+I20)</f>
        <v/>
      </c>
      <c r="M20" s="33">
        <f>IF($C20="","",L20/G20)</f>
        <v/>
      </c>
      <c r="N20" s="34">
        <f>IF($C20="","",200/H20)</f>
        <v/>
      </c>
      <c r="O20" s="24">
        <f>IF($C20="","",IF(H20&gt;200,0,200-H20))</f>
        <v/>
      </c>
      <c r="P20" s="34">
        <f>IF($C20="","",O20/I20)</f>
        <v/>
      </c>
      <c r="Q20" s="24">
        <f>IF($C20="","",IF(IF(I20&gt;O20,0,O20-I20)&gt;200,200,IF(I20&gt;O20,0,O20-I20)+200))</f>
        <v/>
      </c>
      <c r="R20" s="34">
        <f>IF($C20="","",Q20/IF(H20&lt;200,J20,H20-200+J20))</f>
        <v/>
      </c>
      <c r="S20" s="24">
        <f>IF($C20="","",IF(IF(H20&lt;200,J20,H20-200+J20)&gt;Q20,0,Q20-IF(H20&lt;200,J20,H20-200+J20)))</f>
        <v/>
      </c>
      <c r="T20" s="34">
        <f>IF($C20="","",S20/(IF(IF(H20&gt;200,I20,I20-(200-H20))&lt;0,0,IF(H20&gt;200,I20,I20-(200-H20)))+(G20-SUM(H20:J20))))</f>
        <v/>
      </c>
      <c r="U20" s="24" t="n"/>
      <c r="V20" s="24" t="n"/>
    </row>
    <row r="21" ht="15" customHeight="1" s="19">
      <c r="A21" s="24" t="n"/>
      <c r="B21" s="24" t="n"/>
      <c r="C21" s="24" t="n"/>
      <c r="D21" s="24" t="n"/>
      <c r="E21" s="24" t="n"/>
      <c r="F21" s="24" t="n"/>
      <c r="G21" s="24">
        <f>IF($C21="","",C21/$G$1)</f>
        <v/>
      </c>
      <c r="H21" s="24">
        <f>IF($C21="","",D21/$G$1)</f>
        <v/>
      </c>
      <c r="I21" s="24">
        <f>IF($C21="","",E21/$G$1)</f>
        <v/>
      </c>
      <c r="J21" s="24">
        <f>IF($C21="","",F21/$G$1)</f>
        <v/>
      </c>
      <c r="K21" s="24">
        <f>IF($C21="","",H21+J21)</f>
        <v/>
      </c>
      <c r="L21" s="24">
        <f>IF($C21="","",H21+I21)</f>
        <v/>
      </c>
      <c r="M21" s="33">
        <f>IF($C21="","",L21/G21)</f>
        <v/>
      </c>
      <c r="N21" s="34">
        <f>IF($C21="","",200/H21)</f>
        <v/>
      </c>
      <c r="O21" s="24">
        <f>IF($C21="","",IF(H21&gt;200,0,200-H21))</f>
        <v/>
      </c>
      <c r="P21" s="34">
        <f>IF($C21="","",O21/I21)</f>
        <v/>
      </c>
      <c r="Q21" s="24">
        <f>IF($C21="","",IF(IF(I21&gt;O21,0,O21-I21)&gt;200,200,IF(I21&gt;O21,0,O21-I21)+200))</f>
        <v/>
      </c>
      <c r="R21" s="34">
        <f>IF($C21="","",Q21/IF(H21&lt;200,J21,H21-200+J21))</f>
        <v/>
      </c>
      <c r="S21" s="24">
        <f>IF($C21="","",IF(IF(H21&lt;200,J21,H21-200+J21)&gt;Q21,0,Q21-IF(H21&lt;200,J21,H21-200+J21)))</f>
        <v/>
      </c>
      <c r="T21" s="34">
        <f>IF($C21="","",S21/(IF(IF(H21&gt;200,I21,I21-(200-H21))&lt;0,0,IF(H21&gt;200,I21,I21-(200-H21)))+(G21-SUM(H21:J21))))</f>
        <v/>
      </c>
      <c r="U21" s="24" t="n"/>
      <c r="V21" s="24" t="n"/>
    </row>
    <row r="22" ht="15" customHeight="1" s="19">
      <c r="A22" s="24" t="n"/>
      <c r="B22" s="24" t="n"/>
      <c r="C22" s="24" t="n"/>
      <c r="D22" s="24" t="n"/>
      <c r="E22" s="24" t="n"/>
      <c r="F22" s="24" t="n"/>
      <c r="G22" s="24">
        <f>IF($C22="","",C22/$G$1)</f>
        <v/>
      </c>
      <c r="H22" s="24">
        <f>IF($C22="","",D22/$G$1)</f>
        <v/>
      </c>
      <c r="I22" s="24">
        <f>IF($C22="","",E22/$G$1)</f>
        <v/>
      </c>
      <c r="J22" s="24">
        <f>IF($C22="","",F22/$G$1)</f>
        <v/>
      </c>
      <c r="K22" s="24">
        <f>IF($C22="","",H22+J22)</f>
        <v/>
      </c>
      <c r="L22" s="24">
        <f>IF($C22="","",H22+I22)</f>
        <v/>
      </c>
      <c r="M22" s="33">
        <f>IF($C22="","",L22/G22)</f>
        <v/>
      </c>
      <c r="N22" s="34">
        <f>IF($C22="","",200/H22)</f>
        <v/>
      </c>
      <c r="O22" s="24">
        <f>IF($C22="","",IF(H22&gt;200,0,200-H22))</f>
        <v/>
      </c>
      <c r="P22" s="34">
        <f>IF($C22="","",O22/I22)</f>
        <v/>
      </c>
      <c r="Q22" s="24">
        <f>IF($C22="","",IF(IF(I22&gt;O22,0,O22-I22)&gt;200,200,IF(I22&gt;O22,0,O22-I22)+200))</f>
        <v/>
      </c>
      <c r="R22" s="34">
        <f>IF($C22="","",Q22/IF(H22&lt;200,J22,H22-200+J22))</f>
        <v/>
      </c>
      <c r="S22" s="24">
        <f>IF($C22="","",IF(IF(H22&lt;200,J22,H22-200+J22)&gt;Q22,0,Q22-IF(H22&lt;200,J22,H22-200+J22)))</f>
        <v/>
      </c>
      <c r="T22" s="34">
        <f>IF($C22="","",S22/(IF(IF(H22&gt;200,I22,I22-(200-H22))&lt;0,0,IF(H22&gt;200,I22,I22-(200-H22)))+(G22-SUM(H22:J22))))</f>
        <v/>
      </c>
      <c r="U22" s="24" t="n"/>
      <c r="V22" s="24" t="n"/>
    </row>
    <row r="23" ht="15" customHeight="1" s="19">
      <c r="A23" s="24" t="n"/>
      <c r="B23" s="24" t="n"/>
      <c r="C23" s="24" t="n"/>
      <c r="D23" s="24" t="n"/>
      <c r="E23" s="24" t="n"/>
      <c r="F23" s="24" t="n"/>
      <c r="G23" s="24">
        <f>IF($C23="","",C23/$G$1)</f>
        <v/>
      </c>
      <c r="H23" s="24">
        <f>IF($C23="","",D23/$G$1)</f>
        <v/>
      </c>
      <c r="I23" s="24">
        <f>IF($C23="","",E23/$G$1)</f>
        <v/>
      </c>
      <c r="J23" s="24">
        <f>IF($C23="","",F23/$G$1)</f>
        <v/>
      </c>
      <c r="K23" s="24">
        <f>IF($C23="","",H23+J23)</f>
        <v/>
      </c>
      <c r="L23" s="24">
        <f>IF($C23="","",H23+I23)</f>
        <v/>
      </c>
      <c r="M23" s="33">
        <f>IF($C23="","",L23/G23)</f>
        <v/>
      </c>
      <c r="N23" s="34">
        <f>IF($C23="","",200/H23)</f>
        <v/>
      </c>
      <c r="O23" s="24">
        <f>IF($C23="","",IF(H23&gt;200,0,200-H23))</f>
        <v/>
      </c>
      <c r="P23" s="34">
        <f>IF($C23="","",O23/I23)</f>
        <v/>
      </c>
      <c r="Q23" s="24">
        <f>IF($C23="","",IF(IF(I23&gt;O23,0,O23-I23)&gt;200,200,IF(I23&gt;O23,0,O23-I23)+200))</f>
        <v/>
      </c>
      <c r="R23" s="34">
        <f>IF($C23="","",Q23/IF(H23&lt;200,J23,H23-200+J23))</f>
        <v/>
      </c>
      <c r="S23" s="24">
        <f>IF($C23="","",IF(IF(H23&lt;200,J23,H23-200+J23)&gt;Q23,0,Q23-IF(H23&lt;200,J23,H23-200+J23)))</f>
        <v/>
      </c>
      <c r="T23" s="34">
        <f>IF($C23="","",S23/(IF(IF(H23&gt;200,I23,I23-(200-H23))&lt;0,0,IF(H23&gt;200,I23,I23-(200-H23)))+(G23-SUM(H23:J23))))</f>
        <v/>
      </c>
      <c r="U23" s="24" t="n"/>
      <c r="V23" s="24" t="n"/>
    </row>
    <row r="24" ht="15" customHeight="1" s="19">
      <c r="A24" s="24" t="n"/>
      <c r="B24" s="24" t="n"/>
      <c r="C24" s="24" t="n"/>
      <c r="D24" s="24" t="n"/>
      <c r="E24" s="24" t="n"/>
      <c r="F24" s="24" t="n"/>
      <c r="G24" s="24">
        <f>IF($C24="","",C24/$G$1)</f>
        <v/>
      </c>
      <c r="H24" s="24">
        <f>IF($C24="","",D24/$G$1)</f>
        <v/>
      </c>
      <c r="I24" s="24">
        <f>IF($C24="","",E24/$G$1)</f>
        <v/>
      </c>
      <c r="J24" s="24">
        <f>IF($C24="","",F24/$G$1)</f>
        <v/>
      </c>
      <c r="K24" s="24">
        <f>IF($C24="","",H24+J24)</f>
        <v/>
      </c>
      <c r="L24" s="24">
        <f>IF($C24="","",H24+I24)</f>
        <v/>
      </c>
      <c r="M24" s="33">
        <f>IF($C24="","",L24/G24)</f>
        <v/>
      </c>
      <c r="N24" s="34">
        <f>IF($C24="","",200/H24)</f>
        <v/>
      </c>
      <c r="O24" s="24">
        <f>IF($C24="","",IF(H24&gt;200,0,200-H24))</f>
        <v/>
      </c>
      <c r="P24" s="34">
        <f>IF($C24="","",O24/I24)</f>
        <v/>
      </c>
      <c r="Q24" s="24">
        <f>IF($C24="","",IF(IF(I24&gt;O24,0,O24-I24)&gt;200,200,IF(I24&gt;O24,0,O24-I24)+200))</f>
        <v/>
      </c>
      <c r="R24" s="34">
        <f>IF($C24="","",Q24/IF(H24&lt;200,J24,H24-200+J24))</f>
        <v/>
      </c>
      <c r="S24" s="24">
        <f>IF($C24="","",IF(IF(H24&lt;200,J24,H24-200+J24)&gt;Q24,0,Q24-IF(H24&lt;200,J24,H24-200+J24)))</f>
        <v/>
      </c>
      <c r="T24" s="34">
        <f>IF($C24="","",S24/(IF(IF(H24&gt;200,I24,I24-(200-H24))&lt;0,0,IF(H24&gt;200,I24,I24-(200-H24)))+(G24-SUM(H24:J24))))</f>
        <v/>
      </c>
      <c r="U24" s="24" t="n"/>
      <c r="V24" s="24" t="n"/>
    </row>
    <row r="25" ht="15" customHeight="1" s="19">
      <c r="A25" s="24" t="n"/>
      <c r="B25" s="24" t="n"/>
      <c r="C25" s="24" t="n"/>
      <c r="D25" s="24" t="n"/>
      <c r="E25" s="24" t="n"/>
      <c r="F25" s="24" t="n"/>
      <c r="G25" s="24">
        <f>IF($C25="","",C25/$G$1)</f>
        <v/>
      </c>
      <c r="H25" s="24">
        <f>IF($C25="","",D25/$G$1)</f>
        <v/>
      </c>
      <c r="I25" s="24">
        <f>IF($C25="","",E25/$G$1)</f>
        <v/>
      </c>
      <c r="J25" s="24">
        <f>IF($C25="","",F25/$G$1)</f>
        <v/>
      </c>
      <c r="K25" s="24">
        <f>IF($C25="","",H25+J25)</f>
        <v/>
      </c>
      <c r="L25" s="24">
        <f>IF($C25="","",H25+I25)</f>
        <v/>
      </c>
      <c r="M25" s="33">
        <f>IF($C25="","",L25/G25)</f>
        <v/>
      </c>
      <c r="N25" s="34">
        <f>IF($C25="","",200/H25)</f>
        <v/>
      </c>
      <c r="O25" s="24">
        <f>IF($C25="","",IF(H25&gt;200,0,200-H25))</f>
        <v/>
      </c>
      <c r="P25" s="34">
        <f>IF($C25="","",O25/I25)</f>
        <v/>
      </c>
      <c r="Q25" s="24">
        <f>IF($C25="","",IF(IF(I25&gt;O25,0,O25-I25)&gt;200,200,IF(I25&gt;O25,0,O25-I25)+200))</f>
        <v/>
      </c>
      <c r="R25" s="34">
        <f>IF($C25="","",Q25/IF(H25&lt;200,J25,H25-200+J25))</f>
        <v/>
      </c>
      <c r="S25" s="24">
        <f>IF($C25="","",IF(IF(H25&lt;200,J25,H25-200+J25)&gt;Q25,0,Q25-IF(H25&lt;200,J25,H25-200+J25)))</f>
        <v/>
      </c>
      <c r="T25" s="34">
        <f>IF($C25="","",S25/(IF(IF(H25&gt;200,I25,I25-(200-H25))&lt;0,0,IF(H25&gt;200,I25,I25-(200-H25)))+(G25-SUM(H25:J25))))</f>
        <v/>
      </c>
      <c r="U25" s="24" t="n"/>
      <c r="V25" s="24" t="n"/>
    </row>
    <row r="26" ht="15" customHeight="1" s="19">
      <c r="A26" s="24" t="n"/>
      <c r="B26" s="24" t="n"/>
      <c r="C26" s="24" t="n"/>
      <c r="D26" s="24" t="n"/>
      <c r="E26" s="24" t="n"/>
      <c r="F26" s="24" t="n"/>
      <c r="G26" s="24">
        <f>IF($C26="","",C26/$G$1)</f>
        <v/>
      </c>
      <c r="H26" s="24">
        <f>IF($C26="","",D26/$G$1)</f>
        <v/>
      </c>
      <c r="I26" s="24">
        <f>IF($C26="","",E26/$G$1)</f>
        <v/>
      </c>
      <c r="J26" s="24">
        <f>IF($C26="","",F26/$G$1)</f>
        <v/>
      </c>
      <c r="K26" s="24">
        <f>IF($C26="","",H26+J26)</f>
        <v/>
      </c>
      <c r="L26" s="24">
        <f>IF($C26="","",H26+I26)</f>
        <v/>
      </c>
      <c r="M26" s="33">
        <f>IF($C26="","",L26/G26)</f>
        <v/>
      </c>
      <c r="N26" s="34">
        <f>IF($C26="","",200/H26)</f>
        <v/>
      </c>
      <c r="O26" s="24">
        <f>IF($C26="","",IF(H26&gt;200,0,200-H26))</f>
        <v/>
      </c>
      <c r="P26" s="34">
        <f>IF($C26="","",O26/I26)</f>
        <v/>
      </c>
      <c r="Q26" s="24">
        <f>IF($C26="","",IF(IF(I26&gt;O26,0,O26-I26)&gt;200,200,IF(I26&gt;O26,0,O26-I26)+200))</f>
        <v/>
      </c>
      <c r="R26" s="34">
        <f>IF($C26="","",Q26/IF(H26&lt;200,J26,H26-200+J26))</f>
        <v/>
      </c>
      <c r="S26" s="24">
        <f>IF($C26="","",IF(IF(H26&lt;200,J26,H26-200+J26)&gt;Q26,0,Q26-IF(H26&lt;200,J26,H26-200+J26)))</f>
        <v/>
      </c>
      <c r="T26" s="34">
        <f>IF($C26="","",S26/(IF(IF(H26&gt;200,I26,I26-(200-H26))&lt;0,0,IF(H26&gt;200,I26,I26-(200-H26)))+(G26-SUM(H26:J26))))</f>
        <v/>
      </c>
      <c r="U26" s="24" t="n"/>
      <c r="V26" s="24" t="n"/>
    </row>
    <row r="27" ht="15" customHeight="1" s="19">
      <c r="A27" s="24" t="n"/>
      <c r="B27" s="24" t="n"/>
      <c r="C27" s="24" t="n"/>
      <c r="D27" s="24" t="n"/>
      <c r="E27" s="24" t="n"/>
      <c r="F27" s="24" t="n"/>
      <c r="G27" s="24">
        <f>IF($C27="","",C27/$G$1)</f>
        <v/>
      </c>
      <c r="H27" s="24">
        <f>IF($C27="","",D27/$G$1)</f>
        <v/>
      </c>
      <c r="I27" s="24">
        <f>IF($C27="","",E27/$G$1)</f>
        <v/>
      </c>
      <c r="J27" s="24">
        <f>IF($C27="","",F27/$G$1)</f>
        <v/>
      </c>
      <c r="K27" s="24">
        <f>IF($C27="","",H27+J27)</f>
        <v/>
      </c>
      <c r="L27" s="24">
        <f>IF($C27="","",H27+I27)</f>
        <v/>
      </c>
      <c r="M27" s="33">
        <f>IF($C27="","",L27/G27)</f>
        <v/>
      </c>
      <c r="N27" s="34">
        <f>IF($C27="","",200/H27)</f>
        <v/>
      </c>
      <c r="O27" s="24">
        <f>IF($C27="","",IF(H27&gt;200,0,200-H27))</f>
        <v/>
      </c>
      <c r="P27" s="34">
        <f>IF($C27="","",O27/I27)</f>
        <v/>
      </c>
      <c r="Q27" s="24">
        <f>IF($C27="","",IF(IF(I27&gt;O27,0,O27-I27)&gt;200,200,IF(I27&gt;O27,0,O27-I27)+200))</f>
        <v/>
      </c>
      <c r="R27" s="34">
        <f>IF($C27="","",Q27/IF(H27&lt;200,J27,H27-200+J27))</f>
        <v/>
      </c>
      <c r="S27" s="24">
        <f>IF($C27="","",IF(IF(H27&lt;200,J27,H27-200+J27)&gt;Q27,0,Q27-IF(H27&lt;200,J27,H27-200+J27)))</f>
        <v/>
      </c>
      <c r="T27" s="34">
        <f>IF($C27="","",S27/(IF(IF(H27&gt;200,I27,I27-(200-H27))&lt;0,0,IF(H27&gt;200,I27,I27-(200-H27)))+(G27-SUM(H27:J27))))</f>
        <v/>
      </c>
      <c r="U27" s="24" t="n"/>
      <c r="V27" s="24" t="n"/>
    </row>
    <row r="28" ht="15" customHeight="1" s="19">
      <c r="A28" s="24" t="n"/>
      <c r="B28" s="24" t="n"/>
      <c r="C28" s="24" t="n"/>
      <c r="D28" s="24" t="n"/>
      <c r="E28" s="24" t="n"/>
      <c r="F28" s="24" t="n"/>
      <c r="G28" s="24">
        <f>IF($C28="","",C28/$G$1)</f>
        <v/>
      </c>
      <c r="H28" s="24">
        <f>IF($C28="","",D28/$G$1)</f>
        <v/>
      </c>
      <c r="I28" s="24">
        <f>IF($C28="","",E28/$G$1)</f>
        <v/>
      </c>
      <c r="J28" s="24">
        <f>IF($C28="","",F28/$G$1)</f>
        <v/>
      </c>
      <c r="K28" s="24">
        <f>IF($C28="","",H28+J28)</f>
        <v/>
      </c>
      <c r="L28" s="24">
        <f>IF($C28="","",H28+I28)</f>
        <v/>
      </c>
      <c r="M28" s="33">
        <f>IF($C28="","",L28/G28)</f>
        <v/>
      </c>
      <c r="N28" s="34">
        <f>IF($C28="","",200/H28)</f>
        <v/>
      </c>
      <c r="O28" s="24">
        <f>IF($C28="","",IF(H28&gt;200,0,200-H28))</f>
        <v/>
      </c>
      <c r="P28" s="34">
        <f>IF($C28="","",O28/I28)</f>
        <v/>
      </c>
      <c r="Q28" s="24">
        <f>IF($C28="","",IF(IF(I28&gt;O28,0,O28-I28)&gt;200,200,IF(I28&gt;O28,0,O28-I28)+200))</f>
        <v/>
      </c>
      <c r="R28" s="34">
        <f>IF($C28="","",Q28/IF(H28&lt;200,J28,H28-200+J28))</f>
        <v/>
      </c>
      <c r="S28" s="24">
        <f>IF($C28="","",IF(IF(H28&lt;200,J28,H28-200+J28)&gt;Q28,0,Q28-IF(H28&lt;200,J28,H28-200+J28)))</f>
        <v/>
      </c>
      <c r="T28" s="34">
        <f>IF($C28="","",S28/(IF(IF(H28&gt;200,I28,I28-(200-H28))&lt;0,0,IF(H28&gt;200,I28,I28-(200-H28)))+(G28-SUM(H28:J28))))</f>
        <v/>
      </c>
      <c r="U28" s="24" t="n"/>
      <c r="V28" s="24" t="n"/>
    </row>
    <row r="29" ht="15" customHeight="1" s="19">
      <c r="A29" s="24" t="n"/>
      <c r="B29" s="24" t="n"/>
      <c r="C29" s="24" t="n"/>
      <c r="D29" s="24" t="n"/>
      <c r="E29" s="24" t="n"/>
      <c r="F29" s="24" t="n"/>
      <c r="G29" s="24">
        <f>IF($C29="","",C29/$G$1)</f>
        <v/>
      </c>
      <c r="H29" s="24">
        <f>IF($C29="","",D29/$G$1)</f>
        <v/>
      </c>
      <c r="I29" s="24">
        <f>IF($C29="","",E29/$G$1)</f>
        <v/>
      </c>
      <c r="J29" s="24">
        <f>IF($C29="","",F29/$G$1)</f>
        <v/>
      </c>
      <c r="K29" s="24">
        <f>IF($C29="","",H29+J29)</f>
        <v/>
      </c>
      <c r="L29" s="24">
        <f>IF($C29="","",H29+I29)</f>
        <v/>
      </c>
      <c r="M29" s="33">
        <f>IF($C29="","",L29/G29)</f>
        <v/>
      </c>
      <c r="N29" s="34">
        <f>IF($C29="","",200/H29)</f>
        <v/>
      </c>
      <c r="O29" s="24">
        <f>IF($C29="","",IF(H29&gt;200,0,200-H29))</f>
        <v/>
      </c>
      <c r="P29" s="34">
        <f>IF($C29="","",O29/I29)</f>
        <v/>
      </c>
      <c r="Q29" s="24">
        <f>IF($C29="","",IF(IF(I29&gt;O29,0,O29-I29)&gt;200,200,IF(I29&gt;O29,0,O29-I29)+200))</f>
        <v/>
      </c>
      <c r="R29" s="34">
        <f>IF($C29="","",Q29/IF(H29&lt;200,J29,H29-200+J29))</f>
        <v/>
      </c>
      <c r="S29" s="24">
        <f>IF($C29="","",IF(IF(H29&lt;200,J29,H29-200+J29)&gt;Q29,0,Q29-IF(H29&lt;200,J29,H29-200+J29)))</f>
        <v/>
      </c>
      <c r="T29" s="34">
        <f>IF($C29="","",S29/(IF(IF(H29&gt;200,I29,I29-(200-H29))&lt;0,0,IF(H29&gt;200,I29,I29-(200-H29)))+(G29-SUM(H29:J29))))</f>
        <v/>
      </c>
      <c r="U29" s="24" t="n"/>
      <c r="V29" s="24" t="n"/>
    </row>
    <row r="30" ht="15" customHeight="1" s="19">
      <c r="A30" s="24" t="n"/>
      <c r="B30" s="24" t="n"/>
      <c r="C30" s="24" t="n"/>
      <c r="D30" s="24" t="n"/>
      <c r="E30" s="24" t="n"/>
      <c r="F30" s="24" t="n"/>
      <c r="G30" s="24">
        <f>IF($C30="","",C30/$G$1)</f>
        <v/>
      </c>
      <c r="H30" s="24">
        <f>IF($C30="","",D30/$G$1)</f>
        <v/>
      </c>
      <c r="I30" s="24">
        <f>IF($C30="","",E30/$G$1)</f>
        <v/>
      </c>
      <c r="J30" s="24">
        <f>IF($C30="","",F30/$G$1)</f>
        <v/>
      </c>
      <c r="K30" s="24">
        <f>IF($C30="","",H30+J30)</f>
        <v/>
      </c>
      <c r="L30" s="24">
        <f>IF($C30="","",H30+I30)</f>
        <v/>
      </c>
      <c r="M30" s="33">
        <f>IF($C30="","",L30/G30)</f>
        <v/>
      </c>
      <c r="N30" s="34">
        <f>IF($C30="","",200/H30)</f>
        <v/>
      </c>
      <c r="O30" s="24">
        <f>IF($C30="","",IF(H30&gt;200,0,200-H30))</f>
        <v/>
      </c>
      <c r="P30" s="34">
        <f>IF($C30="","",O30/I30)</f>
        <v/>
      </c>
      <c r="Q30" s="24">
        <f>IF($C30="","",IF(IF(I30&gt;O30,0,O30-I30)&gt;200,200,IF(I30&gt;O30,0,O30-I30)+200))</f>
        <v/>
      </c>
      <c r="R30" s="34">
        <f>IF($C30="","",Q30/IF(H30&lt;200,J30,H30-200+J30))</f>
        <v/>
      </c>
      <c r="S30" s="24">
        <f>IF($C30="","",IF(IF(H30&lt;200,J30,H30-200+J30)&gt;Q30,0,Q30-IF(H30&lt;200,J30,H30-200+J30)))</f>
        <v/>
      </c>
      <c r="T30" s="34">
        <f>IF($C30="","",S30/(IF(IF(H30&gt;200,I30,I30-(200-H30))&lt;0,0,IF(H30&gt;200,I30,I30-(200-H30)))+(G30-SUM(H30:J30))))</f>
        <v/>
      </c>
      <c r="U30" s="24" t="n"/>
      <c r="V30" s="24" t="n"/>
    </row>
    <row r="31" ht="15" customHeight="1" s="19">
      <c r="A31" s="24" t="n"/>
      <c r="B31" s="24" t="n"/>
      <c r="C31" s="24" t="n"/>
      <c r="D31" s="24" t="n"/>
      <c r="E31" s="24" t="n"/>
      <c r="F31" s="24" t="n"/>
      <c r="G31" s="24">
        <f>IF($C31="","",C31/$G$1)</f>
        <v/>
      </c>
      <c r="H31" s="24">
        <f>IF($C31="","",D31/$G$1)</f>
        <v/>
      </c>
      <c r="I31" s="24">
        <f>IF($C31="","",E31/$G$1)</f>
        <v/>
      </c>
      <c r="J31" s="24">
        <f>IF($C31="","",F31/$G$1)</f>
        <v/>
      </c>
      <c r="K31" s="24">
        <f>IF($C31="","",H31+J31)</f>
        <v/>
      </c>
      <c r="L31" s="24">
        <f>IF($C31="","",H31+I31)</f>
        <v/>
      </c>
      <c r="M31" s="33">
        <f>IF($C31="","",L31/G31)</f>
        <v/>
      </c>
      <c r="N31" s="34">
        <f>IF($C31="","",200/H31)</f>
        <v/>
      </c>
      <c r="O31" s="24">
        <f>IF($C31="","",IF(H31&gt;200,0,200-H31))</f>
        <v/>
      </c>
      <c r="P31" s="34">
        <f>IF($C31="","",O31/I31)</f>
        <v/>
      </c>
      <c r="Q31" s="24">
        <f>IF($C31="","",IF(IF(I31&gt;O31,0,O31-I31)&gt;200,200,IF(I31&gt;O31,0,O31-I31)+200))</f>
        <v/>
      </c>
      <c r="R31" s="34">
        <f>IF($C31="","",Q31/IF(H31&lt;200,J31,H31-200+J31))</f>
        <v/>
      </c>
      <c r="S31" s="24">
        <f>IF($C31="","",IF(IF(H31&lt;200,J31,H31-200+J31)&gt;Q31,0,Q31-IF(H31&lt;200,J31,H31-200+J31)))</f>
        <v/>
      </c>
      <c r="T31" s="34">
        <f>IF($C31="","",S31/(IF(IF(H31&gt;200,I31,I31-(200-H31))&lt;0,0,IF(H31&gt;200,I31,I31-(200-H31)))+(G31-SUM(H31:J31))))</f>
        <v/>
      </c>
      <c r="U31" s="24" t="n"/>
      <c r="V31" s="24" t="n"/>
    </row>
    <row r="32" ht="15" customHeight="1" s="19">
      <c r="A32" s="24" t="n"/>
      <c r="B32" s="24" t="n"/>
      <c r="C32" s="24" t="n"/>
      <c r="D32" s="24" t="n"/>
      <c r="E32" s="24" t="n"/>
      <c r="F32" s="24" t="n"/>
      <c r="G32" s="24">
        <f>IF($C32="","",C32/$G$1)</f>
        <v/>
      </c>
      <c r="H32" s="24">
        <f>IF($C32="","",D32/$G$1)</f>
        <v/>
      </c>
      <c r="I32" s="24">
        <f>IF($C32="","",E32/$G$1)</f>
        <v/>
      </c>
      <c r="J32" s="24">
        <f>IF($C32="","",F32/$G$1)</f>
        <v/>
      </c>
      <c r="K32" s="24">
        <f>IF($C32="","",H32+J32)</f>
        <v/>
      </c>
      <c r="L32" s="24">
        <f>IF($C32="","",H32+I32)</f>
        <v/>
      </c>
      <c r="M32" s="33">
        <f>IF($C32="","",L32/G32)</f>
        <v/>
      </c>
      <c r="N32" s="34">
        <f>IF($C32="","",200/H32)</f>
        <v/>
      </c>
      <c r="O32" s="24">
        <f>IF($C32="","",IF(H32&gt;200,0,200-H32))</f>
        <v/>
      </c>
      <c r="P32" s="34">
        <f>IF($C32="","",O32/I32)</f>
        <v/>
      </c>
      <c r="Q32" s="24">
        <f>IF($C32="","",IF(IF(I32&gt;O32,0,O32-I32)&gt;200,200,IF(I32&gt;O32,0,O32-I32)+200))</f>
        <v/>
      </c>
      <c r="R32" s="34">
        <f>IF($C32="","",Q32/IF(H32&lt;200,J32,H32-200+J32))</f>
        <v/>
      </c>
      <c r="S32" s="24">
        <f>IF($C32="","",IF(IF(H32&lt;200,J32,H32-200+J32)&gt;Q32,0,Q32-IF(H32&lt;200,J32,H32-200+J32)))</f>
        <v/>
      </c>
      <c r="T32" s="34">
        <f>IF($C32="","",S32/(IF(IF(H32&gt;200,I32,I32-(200-H32))&lt;0,0,IF(H32&gt;200,I32,I32-(200-H32)))+(G32-SUM(H32:J32))))</f>
        <v/>
      </c>
      <c r="U32" s="24" t="n"/>
      <c r="V32" s="24" t="n"/>
    </row>
    <row r="33" ht="15" customHeight="1" s="19">
      <c r="A33" s="24" t="n"/>
      <c r="B33" s="24" t="n"/>
      <c r="C33" s="24" t="n"/>
      <c r="D33" s="24" t="n"/>
      <c r="E33" s="24" t="n"/>
      <c r="F33" s="24" t="n"/>
      <c r="G33" s="24">
        <f>IF($C33="","",C33/$G$1)</f>
        <v/>
      </c>
      <c r="H33" s="24">
        <f>IF($C33="","",D33/$G$1)</f>
        <v/>
      </c>
      <c r="I33" s="24">
        <f>IF($C33="","",E33/$G$1)</f>
        <v/>
      </c>
      <c r="J33" s="24">
        <f>IF($C33="","",F33/$G$1)</f>
        <v/>
      </c>
      <c r="K33" s="24">
        <f>IF($C33="","",H33+J33)</f>
        <v/>
      </c>
      <c r="L33" s="24">
        <f>IF($C33="","",H33+I33)</f>
        <v/>
      </c>
      <c r="M33" s="33">
        <f>IF($C33="","",L33/G33)</f>
        <v/>
      </c>
      <c r="N33" s="34">
        <f>IF($C33="","",200/H33)</f>
        <v/>
      </c>
      <c r="O33" s="24">
        <f>IF($C33="","",IF(H33&gt;200,0,200-H33))</f>
        <v/>
      </c>
      <c r="P33" s="34">
        <f>IF($C33="","",O33/I33)</f>
        <v/>
      </c>
      <c r="Q33" s="24">
        <f>IF($C33="","",IF(IF(I33&gt;O33,0,O33-I33)&gt;200,200,IF(I33&gt;O33,0,O33-I33)+200))</f>
        <v/>
      </c>
      <c r="R33" s="34">
        <f>IF($C33="","",Q33/IF(H33&lt;200,J33,H33-200+J33))</f>
        <v/>
      </c>
      <c r="S33" s="24">
        <f>IF($C33="","",IF(IF(H33&lt;200,J33,H33-200+J33)&gt;Q33,0,Q33-IF(H33&lt;200,J33,H33-200+J33)))</f>
        <v/>
      </c>
      <c r="T33" s="34">
        <f>IF($C33="","",S33/(IF(IF(H33&gt;200,I33,I33-(200-H33))&lt;0,0,IF(H33&gt;200,I33,I33-(200-H33)))+(G33-SUM(H33:J33))))</f>
        <v/>
      </c>
      <c r="U33" s="24" t="n"/>
      <c r="V33" s="24" t="n"/>
    </row>
    <row r="34" ht="15" customHeight="1" s="19">
      <c r="A34" s="24" t="n"/>
      <c r="B34" s="24" t="n"/>
      <c r="C34" s="24" t="n"/>
      <c r="D34" s="24" t="n"/>
      <c r="E34" s="24" t="n"/>
      <c r="F34" s="24" t="n"/>
      <c r="G34" s="24">
        <f>IF($C34="","",C34/$G$1)</f>
        <v/>
      </c>
      <c r="H34" s="24">
        <f>IF($C34="","",D34/$G$1)</f>
        <v/>
      </c>
      <c r="I34" s="24">
        <f>IF($C34="","",E34/$G$1)</f>
        <v/>
      </c>
      <c r="J34" s="24">
        <f>IF($C34="","",F34/$G$1)</f>
        <v/>
      </c>
      <c r="K34" s="24">
        <f>IF($C34="","",H34+J34)</f>
        <v/>
      </c>
      <c r="L34" s="24">
        <f>IF($C34="","",H34+I34)</f>
        <v/>
      </c>
      <c r="M34" s="33">
        <f>IF($C34="","",L34/G34)</f>
        <v/>
      </c>
      <c r="N34" s="34">
        <f>IF($C34="","",200/H34)</f>
        <v/>
      </c>
      <c r="O34" s="24">
        <f>IF($C34="","",IF(H34&gt;200,0,200-H34))</f>
        <v/>
      </c>
      <c r="P34" s="34">
        <f>IF($C34="","",O34/I34)</f>
        <v/>
      </c>
      <c r="Q34" s="24">
        <f>IF($C34="","",IF(IF(I34&gt;O34,0,O34-I34)&gt;200,200,IF(I34&gt;O34,0,O34-I34)+200))</f>
        <v/>
      </c>
      <c r="R34" s="34">
        <f>IF($C34="","",Q34/IF(H34&lt;200,J34,H34-200+J34))</f>
        <v/>
      </c>
      <c r="S34" s="24">
        <f>IF($C34="","",IF(IF(H34&lt;200,J34,H34-200+J34)&gt;Q34,0,Q34-IF(H34&lt;200,J34,H34-200+J34)))</f>
        <v/>
      </c>
      <c r="T34" s="34">
        <f>IF($C34="","",S34/(IF(IF(H34&gt;200,I34,I34-(200-H34))&lt;0,0,IF(H34&gt;200,I34,I34-(200-H34)))+(G34-SUM(H34:J34))))</f>
        <v/>
      </c>
      <c r="U34" s="24" t="n"/>
      <c r="V34" s="24" t="n"/>
    </row>
    <row r="35" ht="15" customHeight="1" s="19">
      <c r="A35" s="24" t="n"/>
      <c r="B35" s="24" t="n"/>
      <c r="C35" s="24" t="n"/>
      <c r="D35" s="24" t="n"/>
      <c r="E35" s="24" t="n"/>
      <c r="F35" s="24" t="n"/>
      <c r="G35" s="24">
        <f>IF($C35="","",C35/$G$1)</f>
        <v/>
      </c>
      <c r="H35" s="24">
        <f>IF($C35="","",D35/$G$1)</f>
        <v/>
      </c>
      <c r="I35" s="24">
        <f>IF($C35="","",E35/$G$1)</f>
        <v/>
      </c>
      <c r="J35" s="24">
        <f>IF($C35="","",F35/$G$1)</f>
        <v/>
      </c>
      <c r="K35" s="24">
        <f>IF($C35="","",H35+J35)</f>
        <v/>
      </c>
      <c r="L35" s="24">
        <f>IF($C35="","",H35+I35)</f>
        <v/>
      </c>
      <c r="M35" s="33">
        <f>IF($C35="","",L35/G35)</f>
        <v/>
      </c>
      <c r="N35" s="34">
        <f>IF($C35="","",200/H35)</f>
        <v/>
      </c>
      <c r="O35" s="24">
        <f>IF($C35="","",IF(H35&gt;200,0,200-H35))</f>
        <v/>
      </c>
      <c r="P35" s="34">
        <f>IF($C35="","",O35/I35)</f>
        <v/>
      </c>
      <c r="Q35" s="24">
        <f>IF($C35="","",IF(IF(I35&gt;O35,0,O35-I35)&gt;200,200,IF(I35&gt;O35,0,O35-I35)+200))</f>
        <v/>
      </c>
      <c r="R35" s="34">
        <f>IF($C35="","",Q35/IF(H35&lt;200,J35,H35-200+J35))</f>
        <v/>
      </c>
      <c r="S35" s="24">
        <f>IF($C35="","",IF(IF(H35&lt;200,J35,H35-200+J35)&gt;Q35,0,Q35-IF(H35&lt;200,J35,H35-200+J35)))</f>
        <v/>
      </c>
      <c r="T35" s="34">
        <f>IF($C35="","",S35/(IF(IF(H35&gt;200,I35,I35-(200-H35))&lt;0,0,IF(H35&gt;200,I35,I35-(200-H35)))+(G35-SUM(H35:J35))))</f>
        <v/>
      </c>
      <c r="U35" s="24" t="n"/>
      <c r="V35" s="24" t="n"/>
    </row>
    <row r="36" ht="15" customHeight="1" s="19">
      <c r="A36" s="24" t="n"/>
      <c r="B36" s="24" t="n"/>
      <c r="C36" s="24" t="n"/>
      <c r="D36" s="24" t="n"/>
      <c r="E36" s="24" t="n"/>
      <c r="F36" s="24" t="n"/>
      <c r="G36" s="24">
        <f>IF($C36="","",C36/$G$1)</f>
        <v/>
      </c>
      <c r="H36" s="24">
        <f>IF($C36="","",D36/$G$1)</f>
        <v/>
      </c>
      <c r="I36" s="24">
        <f>IF($C36="","",E36/$G$1)</f>
        <v/>
      </c>
      <c r="J36" s="24">
        <f>IF($C36="","",F36/$G$1)</f>
        <v/>
      </c>
      <c r="K36" s="24">
        <f>IF($C36="","",H36+J36)</f>
        <v/>
      </c>
      <c r="L36" s="24">
        <f>IF($C36="","",H36+I36)</f>
        <v/>
      </c>
      <c r="M36" s="33">
        <f>IF($C36="","",L36/G36)</f>
        <v/>
      </c>
      <c r="N36" s="34">
        <f>IF($C36="","",200/H36)</f>
        <v/>
      </c>
      <c r="O36" s="24">
        <f>IF($C36="","",IF(H36&gt;200,0,200-H36))</f>
        <v/>
      </c>
      <c r="P36" s="34">
        <f>IF($C36="","",O36/I36)</f>
        <v/>
      </c>
      <c r="Q36" s="24">
        <f>IF($C36="","",IF(IF(I36&gt;O36,0,O36-I36)&gt;200,200,IF(I36&gt;O36,0,O36-I36)+200))</f>
        <v/>
      </c>
      <c r="R36" s="34">
        <f>IF($C36="","",Q36/IF(H36&lt;200,J36,H36-200+J36))</f>
        <v/>
      </c>
      <c r="S36" s="24">
        <f>IF($C36="","",IF(IF(H36&lt;200,J36,H36-200+J36)&gt;Q36,0,Q36-IF(H36&lt;200,J36,H36-200+J36)))</f>
        <v/>
      </c>
      <c r="T36" s="34">
        <f>IF($C36="","",S36/(IF(IF(H36&gt;200,I36,I36-(200-H36))&lt;0,0,IF(H36&gt;200,I36,I36-(200-H36)))+(G36-SUM(H36:J36))))</f>
        <v/>
      </c>
      <c r="U36" s="24" t="n"/>
      <c r="V36" s="24" t="n"/>
    </row>
    <row r="37" ht="15" customHeight="1" s="19">
      <c r="A37" s="24" t="n"/>
      <c r="B37" s="24" t="n"/>
      <c r="C37" s="24" t="n"/>
      <c r="D37" s="24" t="n"/>
      <c r="E37" s="24" t="n"/>
      <c r="F37" s="24" t="n"/>
      <c r="G37" s="24">
        <f>IF($C37="","",C37/$G$1)</f>
        <v/>
      </c>
      <c r="H37" s="24">
        <f>IF($C37="","",D37/$G$1)</f>
        <v/>
      </c>
      <c r="I37" s="24">
        <f>IF($C37="","",E37/$G$1)</f>
        <v/>
      </c>
      <c r="J37" s="24">
        <f>IF($C37="","",F37/$G$1)</f>
        <v/>
      </c>
      <c r="K37" s="24">
        <f>IF($C37="","",H37+J37)</f>
        <v/>
      </c>
      <c r="L37" s="24">
        <f>IF($C37="","",H37+I37)</f>
        <v/>
      </c>
      <c r="M37" s="33">
        <f>IF($C37="","",L37/G37)</f>
        <v/>
      </c>
      <c r="N37" s="34">
        <f>IF($C37="","",200/H37)</f>
        <v/>
      </c>
      <c r="O37" s="24">
        <f>IF($C37="","",IF(H37&gt;200,0,200-H37))</f>
        <v/>
      </c>
      <c r="P37" s="34">
        <f>IF($C37="","",O37/I37)</f>
        <v/>
      </c>
      <c r="Q37" s="24">
        <f>IF($C37="","",IF(IF(I37&gt;O37,0,O37-I37)&gt;200,200,IF(I37&gt;O37,0,O37-I37)+200))</f>
        <v/>
      </c>
      <c r="R37" s="34">
        <f>IF($C37="","",Q37/IF(H37&lt;200,J37,H37-200+J37))</f>
        <v/>
      </c>
      <c r="S37" s="24">
        <f>IF($C37="","",IF(IF(H37&lt;200,J37,H37-200+J37)&gt;Q37,0,Q37-IF(H37&lt;200,J37,H37-200+J37)))</f>
        <v/>
      </c>
      <c r="T37" s="34">
        <f>IF($C37="","",S37/(IF(IF(H37&gt;200,I37,I37-(200-H37))&lt;0,0,IF(H37&gt;200,I37,I37-(200-H37)))+(G37-SUM(H37:J37))))</f>
        <v/>
      </c>
      <c r="U37" s="24" t="n"/>
      <c r="V37" s="24" t="n"/>
    </row>
    <row r="38" ht="15" customHeight="1" s="19">
      <c r="A38" s="24" t="n"/>
      <c r="B38" s="24" t="n"/>
      <c r="C38" s="24" t="n"/>
      <c r="D38" s="24" t="n"/>
      <c r="E38" s="24" t="n"/>
      <c r="F38" s="24" t="n"/>
      <c r="G38" s="24">
        <f>IF($C38="","",C38/$G$1)</f>
        <v/>
      </c>
      <c r="H38" s="24">
        <f>IF($C38="","",D38/$G$1)</f>
        <v/>
      </c>
      <c r="I38" s="24">
        <f>IF($C38="","",E38/$G$1)</f>
        <v/>
      </c>
      <c r="J38" s="24">
        <f>IF($C38="","",F38/$G$1)</f>
        <v/>
      </c>
      <c r="K38" s="24">
        <f>IF($C38="","",H38+J38)</f>
        <v/>
      </c>
      <c r="L38" s="24">
        <f>IF($C38="","",H38+I38)</f>
        <v/>
      </c>
      <c r="M38" s="33">
        <f>IF($C38="","",L38/G38)</f>
        <v/>
      </c>
      <c r="N38" s="34">
        <f>IF($C38="","",200/H38)</f>
        <v/>
      </c>
      <c r="O38" s="24">
        <f>IF($C38="","",IF(H38&gt;200,0,200-H38))</f>
        <v/>
      </c>
      <c r="P38" s="34">
        <f>IF($C38="","",O38/I38)</f>
        <v/>
      </c>
      <c r="Q38" s="24">
        <f>IF($C38="","",IF(IF(I38&gt;O38,0,O38-I38)&gt;200,200,IF(I38&gt;O38,0,O38-I38)+200))</f>
        <v/>
      </c>
      <c r="R38" s="34">
        <f>IF($C38="","",Q38/IF(H38&lt;200,J38,H38-200+J38))</f>
        <v/>
      </c>
      <c r="S38" s="24">
        <f>IF($C38="","",IF(IF(H38&lt;200,J38,H38-200+J38)&gt;Q38,0,Q38-IF(H38&lt;200,J38,H38-200+J38)))</f>
        <v/>
      </c>
      <c r="T38" s="34">
        <f>IF($C38="","",S38/(IF(IF(H38&gt;200,I38,I38-(200-H38))&lt;0,0,IF(H38&gt;200,I38,I38-(200-H38)))+(G38-SUM(H38:J38))))</f>
        <v/>
      </c>
      <c r="U38" s="24" t="n"/>
      <c r="V38" s="24" t="n"/>
    </row>
    <row r="39" ht="15" customHeight="1" s="19">
      <c r="A39" s="24" t="n"/>
      <c r="B39" s="24" t="n"/>
      <c r="C39" s="24" t="n"/>
      <c r="D39" s="24" t="n"/>
      <c r="E39" s="24" t="n"/>
      <c r="F39" s="24" t="n"/>
      <c r="G39" s="24">
        <f>IF($C39="","",C39/$G$1)</f>
        <v/>
      </c>
      <c r="H39" s="24">
        <f>IF($C39="","",D39/$G$1)</f>
        <v/>
      </c>
      <c r="I39" s="24">
        <f>IF($C39="","",E39/$G$1)</f>
        <v/>
      </c>
      <c r="J39" s="24">
        <f>IF($C39="","",F39/$G$1)</f>
        <v/>
      </c>
      <c r="K39" s="24">
        <f>IF($C39="","",H39+J39)</f>
        <v/>
      </c>
      <c r="L39" s="24">
        <f>IF($C39="","",H39+I39)</f>
        <v/>
      </c>
      <c r="M39" s="33">
        <f>IF($C39="","",L39/G39)</f>
        <v/>
      </c>
      <c r="N39" s="34">
        <f>IF($C39="","",200/H39)</f>
        <v/>
      </c>
      <c r="O39" s="24">
        <f>IF($C39="","",IF(H39&gt;200,0,200-H39))</f>
        <v/>
      </c>
      <c r="P39" s="34">
        <f>IF($C39="","",O39/I39)</f>
        <v/>
      </c>
      <c r="Q39" s="24">
        <f>IF($C39="","",IF(IF(I39&gt;O39,0,O39-I39)&gt;200,200,IF(I39&gt;O39,0,O39-I39)+200))</f>
        <v/>
      </c>
      <c r="R39" s="34">
        <f>IF($C39="","",Q39/IF(H39&lt;200,J39,H39-200+J39))</f>
        <v/>
      </c>
      <c r="S39" s="24">
        <f>IF($C39="","",IF(IF(H39&lt;200,J39,H39-200+J39)&gt;Q39,0,Q39-IF(H39&lt;200,J39,H39-200+J39)))</f>
        <v/>
      </c>
      <c r="T39" s="34">
        <f>IF($C39="","",S39/(IF(IF(H39&gt;200,I39,I39-(200-H39))&lt;0,0,IF(H39&gt;200,I39,I39-(200-H39)))+(G39-SUM(H39:J39))))</f>
        <v/>
      </c>
      <c r="U39" s="24" t="n"/>
      <c r="V39" s="24" t="n"/>
    </row>
    <row r="40" ht="15" customHeight="1" s="19">
      <c r="A40" s="24" t="n"/>
      <c r="B40" s="24" t="n"/>
      <c r="C40" s="24" t="n"/>
      <c r="D40" s="24" t="n"/>
      <c r="E40" s="24" t="n"/>
      <c r="F40" s="24" t="n"/>
      <c r="G40" s="24">
        <f>IF($C40="","",C40/$G$1)</f>
        <v/>
      </c>
      <c r="H40" s="24">
        <f>IF($C40="","",D40/$G$1)</f>
        <v/>
      </c>
      <c r="I40" s="24">
        <f>IF($C40="","",E40/$G$1)</f>
        <v/>
      </c>
      <c r="J40" s="24">
        <f>IF($C40="","",F40/$G$1)</f>
        <v/>
      </c>
      <c r="K40" s="24">
        <f>IF($C40="","",H40+J40)</f>
        <v/>
      </c>
      <c r="L40" s="24">
        <f>IF($C40="","",H40+I40)</f>
        <v/>
      </c>
      <c r="M40" s="33">
        <f>IF($C40="","",L40/G40)</f>
        <v/>
      </c>
      <c r="N40" s="34">
        <f>IF($C40="","",200/H40)</f>
        <v/>
      </c>
      <c r="O40" s="24">
        <f>IF($C40="","",IF(H40&gt;200,0,200-H40))</f>
        <v/>
      </c>
      <c r="P40" s="34">
        <f>IF($C40="","",O40/I40)</f>
        <v/>
      </c>
      <c r="Q40" s="24">
        <f>IF($C40="","",IF(IF(I40&gt;O40,0,O40-I40)&gt;200,200,IF(I40&gt;O40,0,O40-I40)+200))</f>
        <v/>
      </c>
      <c r="R40" s="34">
        <f>IF($C40="","",Q40/IF(H40&lt;200,J40,H40-200+J40))</f>
        <v/>
      </c>
      <c r="S40" s="24">
        <f>IF($C40="","",IF(IF(H40&lt;200,J40,H40-200+J40)&gt;Q40,0,Q40-IF(H40&lt;200,J40,H40-200+J40)))</f>
        <v/>
      </c>
      <c r="T40" s="34">
        <f>IF($C40="","",S40/(IF(IF(H40&gt;200,I40,I40-(200-H40))&lt;0,0,IF(H40&gt;200,I40,I40-(200-H40)))+(G40-SUM(H40:J40))))</f>
        <v/>
      </c>
      <c r="U40" s="24" t="n"/>
      <c r="V40" s="24" t="n"/>
    </row>
    <row r="41" ht="15" customHeight="1" s="19">
      <c r="A41" s="24" t="n"/>
      <c r="B41" s="24" t="n"/>
      <c r="C41" s="24" t="n"/>
      <c r="D41" s="24" t="n"/>
      <c r="E41" s="24" t="n"/>
      <c r="F41" s="24" t="n"/>
      <c r="G41" s="24">
        <f>IF($C41="","",C41/$G$1)</f>
        <v/>
      </c>
      <c r="H41" s="24">
        <f>IF($C41="","",D41/$G$1)</f>
        <v/>
      </c>
      <c r="I41" s="24">
        <f>IF($C41="","",E41/$G$1)</f>
        <v/>
      </c>
      <c r="J41" s="24">
        <f>IF($C41="","",F41/$G$1)</f>
        <v/>
      </c>
      <c r="K41" s="24">
        <f>IF($C41="","",H41+J41)</f>
        <v/>
      </c>
      <c r="L41" s="24">
        <f>IF($C41="","",H41+I41)</f>
        <v/>
      </c>
      <c r="M41" s="33">
        <f>IF($C41="","",L41/G41)</f>
        <v/>
      </c>
      <c r="N41" s="34">
        <f>IF($C41="","",200/H41)</f>
        <v/>
      </c>
      <c r="O41" s="24">
        <f>IF($C41="","",IF(H41&gt;200,0,200-H41))</f>
        <v/>
      </c>
      <c r="P41" s="34">
        <f>IF($C41="","",O41/I41)</f>
        <v/>
      </c>
      <c r="Q41" s="24">
        <f>IF($C41="","",IF(IF(I41&gt;O41,0,O41-I41)&gt;200,200,IF(I41&gt;O41,0,O41-I41)+200))</f>
        <v/>
      </c>
      <c r="R41" s="34">
        <f>IF($C41="","",Q41/IF(H41&lt;200,J41,H41-200+J41))</f>
        <v/>
      </c>
      <c r="S41" s="24">
        <f>IF($C41="","",IF(IF(H41&lt;200,J41,H41-200+J41)&gt;Q41,0,Q41-IF(H41&lt;200,J41,H41-200+J41)))</f>
        <v/>
      </c>
      <c r="T41" s="34">
        <f>IF($C41="","",S41/(IF(IF(H41&gt;200,I41,I41-(200-H41))&lt;0,0,IF(H41&gt;200,I41,I41-(200-H41)))+(G41-SUM(H41:J41))))</f>
        <v/>
      </c>
      <c r="U41" s="24" t="n"/>
      <c r="V41" s="24" t="n"/>
    </row>
    <row r="42" ht="15" customHeight="1" s="19">
      <c r="A42" s="24" t="n"/>
      <c r="B42" s="24" t="n"/>
      <c r="C42" s="24" t="n"/>
      <c r="D42" s="24" t="n"/>
      <c r="E42" s="24" t="n"/>
      <c r="F42" s="24" t="n"/>
      <c r="G42" s="24">
        <f>IF($C42="","",C42/$G$1)</f>
        <v/>
      </c>
      <c r="H42" s="24">
        <f>IF($C42="","",D42/$G$1)</f>
        <v/>
      </c>
      <c r="I42" s="24">
        <f>IF($C42="","",E42/$G$1)</f>
        <v/>
      </c>
      <c r="J42" s="24">
        <f>IF($C42="","",F42/$G$1)</f>
        <v/>
      </c>
      <c r="K42" s="24">
        <f>IF($C42="","",H42+J42)</f>
        <v/>
      </c>
      <c r="L42" s="24">
        <f>IF($C42="","",H42+I42)</f>
        <v/>
      </c>
      <c r="M42" s="33">
        <f>IF($C42="","",L42/G42)</f>
        <v/>
      </c>
      <c r="N42" s="34">
        <f>IF($C42="","",200/H42)</f>
        <v/>
      </c>
      <c r="O42" s="24">
        <f>IF($C42="","",IF(H42&gt;200,0,200-H42))</f>
        <v/>
      </c>
      <c r="P42" s="34">
        <f>IF($C42="","",O42/I42)</f>
        <v/>
      </c>
      <c r="Q42" s="24">
        <f>IF($C42="","",IF(IF(I42&gt;O42,0,O42-I42)&gt;200,200,IF(I42&gt;O42,0,O42-I42)+200))</f>
        <v/>
      </c>
      <c r="R42" s="34">
        <f>IF($C42="","",Q42/IF(H42&lt;200,J42,H42-200+J42))</f>
        <v/>
      </c>
      <c r="S42" s="24">
        <f>IF($C42="","",IF(IF(H42&lt;200,J42,H42-200+J42)&gt;Q42,0,Q42-IF(H42&lt;200,J42,H42-200+J42)))</f>
        <v/>
      </c>
      <c r="T42" s="34">
        <f>IF($C42="","",S42/(IF(IF(H42&gt;200,I42,I42-(200-H42))&lt;0,0,IF(H42&gt;200,I42,I42-(200-H42)))+(G42-SUM(H42:J42))))</f>
        <v/>
      </c>
      <c r="U42" s="24" t="n"/>
      <c r="V42" s="24" t="n"/>
    </row>
    <row r="43" ht="15" customHeight="1" s="19">
      <c r="A43" s="24" t="n"/>
      <c r="B43" s="24" t="n"/>
      <c r="C43" s="24" t="n"/>
      <c r="D43" s="24" t="n"/>
      <c r="E43" s="24" t="n"/>
      <c r="F43" s="24" t="n"/>
      <c r="G43" s="24">
        <f>IF($C43="","",C43/$G$1)</f>
        <v/>
      </c>
      <c r="H43" s="24">
        <f>IF($C43="","",D43/$G$1)</f>
        <v/>
      </c>
      <c r="I43" s="24">
        <f>IF($C43="","",E43/$G$1)</f>
        <v/>
      </c>
      <c r="J43" s="24">
        <f>IF($C43="","",F43/$G$1)</f>
        <v/>
      </c>
      <c r="K43" s="24">
        <f>IF($C43="","",H43+J43)</f>
        <v/>
      </c>
      <c r="L43" s="24">
        <f>IF($C43="","",H43+I43)</f>
        <v/>
      </c>
      <c r="M43" s="33">
        <f>IF($C43="","",L43/G43)</f>
        <v/>
      </c>
      <c r="N43" s="34">
        <f>IF($C43="","",200/H43)</f>
        <v/>
      </c>
      <c r="O43" s="24">
        <f>IF($C43="","",IF(H43&gt;200,0,200-H43))</f>
        <v/>
      </c>
      <c r="P43" s="34">
        <f>IF($C43="","",O43/I43)</f>
        <v/>
      </c>
      <c r="Q43" s="24">
        <f>IF($C43="","",IF(IF(I43&gt;O43,0,O43-I43)&gt;200,200,IF(I43&gt;O43,0,O43-I43)+200))</f>
        <v/>
      </c>
      <c r="R43" s="34">
        <f>IF($C43="","",Q43/IF(H43&lt;200,J43,H43-200+J43))</f>
        <v/>
      </c>
      <c r="S43" s="24">
        <f>IF($C43="","",IF(IF(H43&lt;200,J43,H43-200+J43)&gt;Q43,0,Q43-IF(H43&lt;200,J43,H43-200+J43)))</f>
        <v/>
      </c>
      <c r="T43" s="34">
        <f>IF($C43="","",S43/(IF(IF(H43&gt;200,I43,I43-(200-H43))&lt;0,0,IF(H43&gt;200,I43,I43-(200-H43)))+(G43-SUM(H43:J43))))</f>
        <v/>
      </c>
      <c r="U43" s="24" t="n"/>
      <c r="V43" s="24" t="n"/>
    </row>
    <row r="44" ht="15" customHeight="1" s="19">
      <c r="A44" s="24" t="n"/>
      <c r="B44" s="24" t="n"/>
      <c r="C44" s="24" t="n"/>
      <c r="D44" s="24" t="n"/>
      <c r="E44" s="24" t="n"/>
      <c r="F44" s="24" t="n"/>
      <c r="G44" s="24">
        <f>IF($C44="","",C44/$G$1)</f>
        <v/>
      </c>
      <c r="H44" s="24">
        <f>IF($C44="","",D44/$G$1)</f>
        <v/>
      </c>
      <c r="I44" s="24">
        <f>IF($C44="","",E44/$G$1)</f>
        <v/>
      </c>
      <c r="J44" s="24">
        <f>IF($C44="","",F44/$G$1)</f>
        <v/>
      </c>
      <c r="K44" s="24">
        <f>IF($C44="","",H44+J44)</f>
        <v/>
      </c>
      <c r="L44" s="24">
        <f>IF($C44="","",H44+I44)</f>
        <v/>
      </c>
      <c r="M44" s="33">
        <f>IF($C44="","",L44/G44)</f>
        <v/>
      </c>
      <c r="N44" s="34">
        <f>IF($C44="","",200/H44)</f>
        <v/>
      </c>
      <c r="O44" s="24">
        <f>IF($C44="","",IF(H44&gt;200,0,200-H44))</f>
        <v/>
      </c>
      <c r="P44" s="34">
        <f>IF($C44="","",O44/I44)</f>
        <v/>
      </c>
      <c r="Q44" s="24">
        <f>IF($C44="","",IF(IF(I44&gt;O44,0,O44-I44)&gt;200,200,IF(I44&gt;O44,0,O44-I44)+200))</f>
        <v/>
      </c>
      <c r="R44" s="34">
        <f>IF($C44="","",Q44/IF(H44&lt;200,J44,H44-200+J44))</f>
        <v/>
      </c>
      <c r="S44" s="24">
        <f>IF($C44="","",IF(IF(H44&lt;200,J44,H44-200+J44)&gt;Q44,0,Q44-IF(H44&lt;200,J44,H44-200+J44)))</f>
        <v/>
      </c>
      <c r="T44" s="34">
        <f>IF($C44="","",S44/(IF(IF(H44&gt;200,I44,I44-(200-H44))&lt;0,0,IF(H44&gt;200,I44,I44-(200-H44)))+(G44-SUM(H44:J44))))</f>
        <v/>
      </c>
      <c r="U44" s="24" t="n"/>
      <c r="V44" s="24" t="n"/>
    </row>
    <row r="45" ht="15" customHeight="1" s="19">
      <c r="A45" s="24" t="n"/>
      <c r="B45" s="24" t="n"/>
      <c r="C45" s="24" t="n"/>
      <c r="D45" s="24" t="n"/>
      <c r="E45" s="24" t="n"/>
      <c r="F45" s="24" t="n"/>
      <c r="G45" s="24">
        <f>IF($C45="","",C45/$G$1)</f>
        <v/>
      </c>
      <c r="H45" s="24">
        <f>IF($C45="","",D45/$G$1)</f>
        <v/>
      </c>
      <c r="I45" s="24">
        <f>IF($C45="","",E45/$G$1)</f>
        <v/>
      </c>
      <c r="J45" s="24">
        <f>IF($C45="","",F45/$G$1)</f>
        <v/>
      </c>
      <c r="K45" s="24">
        <f>IF($C45="","",H45+J45)</f>
        <v/>
      </c>
      <c r="L45" s="24">
        <f>IF($C45="","",H45+I45)</f>
        <v/>
      </c>
      <c r="M45" s="33">
        <f>IF($C45="","",L45/G45)</f>
        <v/>
      </c>
      <c r="N45" s="34">
        <f>IF($C45="","",200/H45)</f>
        <v/>
      </c>
      <c r="O45" s="24">
        <f>IF($C45="","",IF(H45&gt;200,0,200-H45))</f>
        <v/>
      </c>
      <c r="P45" s="34">
        <f>IF($C45="","",O45/I45)</f>
        <v/>
      </c>
      <c r="Q45" s="24">
        <f>IF($C45="","",IF(IF(I45&gt;O45,0,O45-I45)&gt;200,200,IF(I45&gt;O45,0,O45-I45)+200))</f>
        <v/>
      </c>
      <c r="R45" s="34">
        <f>IF($C45="","",Q45/IF(H45&lt;200,J45,H45-200+J45))</f>
        <v/>
      </c>
      <c r="S45" s="24">
        <f>IF($C45="","",IF(IF(H45&lt;200,J45,H45-200+J45)&gt;Q45,0,Q45-IF(H45&lt;200,J45,H45-200+J45)))</f>
        <v/>
      </c>
      <c r="T45" s="34">
        <f>IF($C45="","",S45/(IF(IF(H45&gt;200,I45,I45-(200-H45))&lt;0,0,IF(H45&gt;200,I45,I45-(200-H45)))+(G45-SUM(H45:J45))))</f>
        <v/>
      </c>
      <c r="U45" s="24" t="n"/>
      <c r="V45" s="24" t="n"/>
    </row>
    <row r="46" ht="15" customHeight="1" s="19">
      <c r="A46" s="24" t="n"/>
      <c r="B46" s="24" t="n"/>
      <c r="C46" s="24" t="n"/>
      <c r="D46" s="24" t="n"/>
      <c r="E46" s="24" t="n"/>
      <c r="F46" s="24" t="n"/>
      <c r="G46" s="24">
        <f>IF($C46="","",C46/$G$1)</f>
        <v/>
      </c>
      <c r="H46" s="24">
        <f>IF($C46="","",D46/$G$1)</f>
        <v/>
      </c>
      <c r="I46" s="24">
        <f>IF($C46="","",E46/$G$1)</f>
        <v/>
      </c>
      <c r="J46" s="24">
        <f>IF($C46="","",F46/$G$1)</f>
        <v/>
      </c>
      <c r="K46" s="24">
        <f>IF($C46="","",H46+J46)</f>
        <v/>
      </c>
      <c r="L46" s="24">
        <f>IF($C46="","",H46+I46)</f>
        <v/>
      </c>
      <c r="M46" s="33">
        <f>IF($C46="","",L46/G46)</f>
        <v/>
      </c>
      <c r="N46" s="34">
        <f>IF($C46="","",200/H46)</f>
        <v/>
      </c>
      <c r="O46" s="24">
        <f>IF($C46="","",IF(H46&gt;200,0,200-H46))</f>
        <v/>
      </c>
      <c r="P46" s="34">
        <f>IF($C46="","",O46/I46)</f>
        <v/>
      </c>
      <c r="Q46" s="24">
        <f>IF($C46="","",IF(IF(I46&gt;O46,0,O46-I46)&gt;200,200,IF(I46&gt;O46,0,O46-I46)+200))</f>
        <v/>
      </c>
      <c r="R46" s="34">
        <f>IF($C46="","",Q46/IF(H46&lt;200,J46,H46-200+J46))</f>
        <v/>
      </c>
      <c r="S46" s="24">
        <f>IF($C46="","",IF(IF(H46&lt;200,J46,H46-200+J46)&gt;Q46,0,Q46-IF(H46&lt;200,J46,H46-200+J46)))</f>
        <v/>
      </c>
      <c r="T46" s="34">
        <f>IF($C46="","",S46/(IF(IF(H46&gt;200,I46,I46-(200-H46))&lt;0,0,IF(H46&gt;200,I46,I46-(200-H46)))+(G46-SUM(H46:J46))))</f>
        <v/>
      </c>
      <c r="U46" s="24" t="n"/>
      <c r="V46" s="24" t="n"/>
    </row>
    <row r="47" ht="15" customHeight="1" s="19">
      <c r="A47" s="24" t="n"/>
      <c r="B47" s="24" t="n"/>
      <c r="C47" s="24" t="n"/>
      <c r="D47" s="24" t="n"/>
      <c r="E47" s="24" t="n"/>
      <c r="F47" s="24" t="n"/>
      <c r="G47" s="24">
        <f>IF($C47="","",C47/$G$1)</f>
        <v/>
      </c>
      <c r="H47" s="24">
        <f>IF($C47="","",D47/$G$1)</f>
        <v/>
      </c>
      <c r="I47" s="24">
        <f>IF($C47="","",E47/$G$1)</f>
        <v/>
      </c>
      <c r="J47" s="24">
        <f>IF($C47="","",F47/$G$1)</f>
        <v/>
      </c>
      <c r="K47" s="24">
        <f>IF($C47="","",H47+J47)</f>
        <v/>
      </c>
      <c r="L47" s="24">
        <f>IF($C47="","",H47+I47)</f>
        <v/>
      </c>
      <c r="M47" s="33">
        <f>IF($C47="","",L47/G47)</f>
        <v/>
      </c>
      <c r="N47" s="34">
        <f>IF($C47="","",200/H47)</f>
        <v/>
      </c>
      <c r="O47" s="24">
        <f>IF($C47="","",IF(H47&gt;200,0,200-H47))</f>
        <v/>
      </c>
      <c r="P47" s="34">
        <f>IF($C47="","",O47/I47)</f>
        <v/>
      </c>
      <c r="Q47" s="24">
        <f>IF($C47="","",IF(IF(I47&gt;O47,0,O47-I47)&gt;200,200,IF(I47&gt;O47,0,O47-I47)+200))</f>
        <v/>
      </c>
      <c r="R47" s="34">
        <f>IF($C47="","",Q47/IF(H47&lt;200,J47,H47-200+J47))</f>
        <v/>
      </c>
      <c r="S47" s="24">
        <f>IF($C47="","",IF(IF(H47&lt;200,J47,H47-200+J47)&gt;Q47,0,Q47-IF(H47&lt;200,J47,H47-200+J47)))</f>
        <v/>
      </c>
      <c r="T47" s="34">
        <f>IF($C47="","",S47/(IF(IF(H47&gt;200,I47,I47-(200-H47))&lt;0,0,IF(H47&gt;200,I47,I47-(200-H47)))+(G47-SUM(H47:J47))))</f>
        <v/>
      </c>
      <c r="U47" s="24" t="n"/>
      <c r="V47" s="24" t="n"/>
    </row>
    <row r="48" ht="15" customHeight="1" s="19">
      <c r="A48" s="24" t="n"/>
      <c r="B48" s="24" t="n"/>
      <c r="C48" s="24" t="n"/>
      <c r="D48" s="24" t="n"/>
      <c r="E48" s="24" t="n"/>
      <c r="F48" s="24" t="n"/>
      <c r="G48" s="24">
        <f>IF($C48="","",C48/$G$1)</f>
        <v/>
      </c>
      <c r="H48" s="24">
        <f>IF($C48="","",D48/$G$1)</f>
        <v/>
      </c>
      <c r="I48" s="24">
        <f>IF($C48="","",E48/$G$1)</f>
        <v/>
      </c>
      <c r="J48" s="24">
        <f>IF($C48="","",F48/$G$1)</f>
        <v/>
      </c>
      <c r="K48" s="24">
        <f>IF($C48="","",H48+J48)</f>
        <v/>
      </c>
      <c r="L48" s="24">
        <f>IF($C48="","",H48+I48)</f>
        <v/>
      </c>
      <c r="M48" s="33">
        <f>IF($C48="","",L48/G48)</f>
        <v/>
      </c>
      <c r="N48" s="34">
        <f>IF($C48="","",200/H48)</f>
        <v/>
      </c>
      <c r="O48" s="24">
        <f>IF($C48="","",IF(H48&gt;200,0,200-H48))</f>
        <v/>
      </c>
      <c r="P48" s="34">
        <f>IF($C48="","",O48/I48)</f>
        <v/>
      </c>
      <c r="Q48" s="24">
        <f>IF($C48="","",IF(IF(I48&gt;O48,0,O48-I48)&gt;200,200,IF(I48&gt;O48,0,O48-I48)+200))</f>
        <v/>
      </c>
      <c r="R48" s="34">
        <f>IF($C48="","",Q48/IF(H48&lt;200,J48,H48-200+J48))</f>
        <v/>
      </c>
      <c r="S48" s="24">
        <f>IF($C48="","",IF(IF(H48&lt;200,J48,H48-200+J48)&gt;Q48,0,Q48-IF(H48&lt;200,J48,H48-200+J48)))</f>
        <v/>
      </c>
      <c r="T48" s="34">
        <f>IF($C48="","",S48/(IF(IF(H48&gt;200,I48,I48-(200-H48))&lt;0,0,IF(H48&gt;200,I48,I48-(200-H48)))+(G48-SUM(H48:J48))))</f>
        <v/>
      </c>
      <c r="U48" s="24" t="n"/>
      <c r="V48" s="24" t="n"/>
    </row>
    <row r="49" ht="15" customHeight="1" s="19">
      <c r="A49" s="24" t="n"/>
      <c r="B49" s="24" t="n"/>
      <c r="C49" s="24" t="n"/>
      <c r="D49" s="24" t="n"/>
      <c r="E49" s="24" t="n"/>
      <c r="F49" s="24" t="n"/>
      <c r="G49" s="24">
        <f>IF($C49="","",C49/$G$1)</f>
        <v/>
      </c>
      <c r="H49" s="24">
        <f>IF($C49="","",D49/$G$1)</f>
        <v/>
      </c>
      <c r="I49" s="24">
        <f>IF($C49="","",E49/$G$1)</f>
        <v/>
      </c>
      <c r="J49" s="24">
        <f>IF($C49="","",F49/$G$1)</f>
        <v/>
      </c>
      <c r="K49" s="24">
        <f>IF($C49="","",H49+J49)</f>
        <v/>
      </c>
      <c r="L49" s="24">
        <f>IF($C49="","",H49+I49)</f>
        <v/>
      </c>
      <c r="M49" s="33">
        <f>IF($C49="","",L49/G49)</f>
        <v/>
      </c>
      <c r="N49" s="34">
        <f>IF($C49="","",200/H49)</f>
        <v/>
      </c>
      <c r="O49" s="24">
        <f>IF($C49="","",IF(H49&gt;200,0,200-H49))</f>
        <v/>
      </c>
      <c r="P49" s="34">
        <f>IF($C49="","",O49/I49)</f>
        <v/>
      </c>
      <c r="Q49" s="24">
        <f>IF($C49="","",IF(IF(I49&gt;O49,0,O49-I49)&gt;200,200,IF(I49&gt;O49,0,O49-I49)+200))</f>
        <v/>
      </c>
      <c r="R49" s="34">
        <f>IF($C49="","",Q49/IF(H49&lt;200,J49,H49-200+J49))</f>
        <v/>
      </c>
      <c r="S49" s="24">
        <f>IF($C49="","",IF(IF(H49&lt;200,J49,H49-200+J49)&gt;Q49,0,Q49-IF(H49&lt;200,J49,H49-200+J49)))</f>
        <v/>
      </c>
      <c r="T49" s="34">
        <f>IF($C49="","",S49/(IF(IF(H49&gt;200,I49,I49-(200-H49))&lt;0,0,IF(H49&gt;200,I49,I49-(200-H49)))+(G49-SUM(H49:J49))))</f>
        <v/>
      </c>
      <c r="U49" s="24" t="n"/>
      <c r="V49" s="24" t="n"/>
    </row>
    <row r="50" ht="15" customHeight="1" s="19">
      <c r="A50" s="24" t="n"/>
      <c r="B50" s="24" t="n"/>
      <c r="C50" s="24" t="n"/>
      <c r="D50" s="24" t="n"/>
      <c r="E50" s="24" t="n"/>
      <c r="F50" s="24" t="n"/>
      <c r="G50" s="24">
        <f>IF($C50="","",C50/$G$1)</f>
        <v/>
      </c>
      <c r="H50" s="24">
        <f>IF($C50="","",D50/$G$1)</f>
        <v/>
      </c>
      <c r="I50" s="24">
        <f>IF($C50="","",E50/$G$1)</f>
        <v/>
      </c>
      <c r="J50" s="24">
        <f>IF($C50="","",F50/$G$1)</f>
        <v/>
      </c>
      <c r="K50" s="24">
        <f>IF($C50="","",H50+J50)</f>
        <v/>
      </c>
      <c r="L50" s="24">
        <f>IF($C50="","",H50+I50)</f>
        <v/>
      </c>
      <c r="M50" s="33">
        <f>IF($C50="","",L50/G50)</f>
        <v/>
      </c>
      <c r="N50" s="34">
        <f>IF($C50="","",200/H50)</f>
        <v/>
      </c>
      <c r="O50" s="24">
        <f>IF($C50="","",IF(H50&gt;200,0,200-H50))</f>
        <v/>
      </c>
      <c r="P50" s="34">
        <f>IF($C50="","",O50/I50)</f>
        <v/>
      </c>
      <c r="Q50" s="24">
        <f>IF($C50="","",IF(IF(I50&gt;O50,0,O50-I50)&gt;200,200,IF(I50&gt;O50,0,O50-I50)+200))</f>
        <v/>
      </c>
      <c r="R50" s="34">
        <f>IF($C50="","",Q50/IF(H50&lt;200,J50,H50-200+J50))</f>
        <v/>
      </c>
      <c r="S50" s="24">
        <f>IF($C50="","",IF(IF(H50&lt;200,J50,H50-200+J50)&gt;Q50,0,Q50-IF(H50&lt;200,J50,H50-200+J50)))</f>
        <v/>
      </c>
      <c r="T50" s="34">
        <f>IF($C50="","",S50/(IF(IF(H50&gt;200,I50,I50-(200-H50))&lt;0,0,IF(H50&gt;200,I50,I50-(200-H50)))+(G50-SUM(H50:J50))))</f>
        <v/>
      </c>
      <c r="U50" s="24" t="n"/>
      <c r="V50" s="24" t="n"/>
    </row>
    <row r="51" ht="15" customHeight="1" s="19">
      <c r="A51" s="24" t="n"/>
      <c r="B51" s="24" t="n"/>
      <c r="C51" s="24" t="n"/>
      <c r="D51" s="24" t="n"/>
      <c r="E51" s="24" t="n"/>
      <c r="F51" s="24" t="n"/>
      <c r="G51" s="24">
        <f>IF($C51="","",C51/$G$1)</f>
        <v/>
      </c>
      <c r="H51" s="24">
        <f>IF($C51="","",D51/$G$1)</f>
        <v/>
      </c>
      <c r="I51" s="24">
        <f>IF($C51="","",E51/$G$1)</f>
        <v/>
      </c>
      <c r="J51" s="24">
        <f>IF($C51="","",F51/$G$1)</f>
        <v/>
      </c>
      <c r="K51" s="24">
        <f>IF($C51="","",H51+J51)</f>
        <v/>
      </c>
      <c r="L51" s="24">
        <f>IF($C51="","",H51+I51)</f>
        <v/>
      </c>
      <c r="M51" s="33">
        <f>IF($C51="","",L51/G51)</f>
        <v/>
      </c>
      <c r="N51" s="34">
        <f>IF($C51="","",200/H51)</f>
        <v/>
      </c>
      <c r="O51" s="24">
        <f>IF($C51="","",IF(H51&gt;200,0,200-H51))</f>
        <v/>
      </c>
      <c r="P51" s="34">
        <f>IF($C51="","",O51/I51)</f>
        <v/>
      </c>
      <c r="Q51" s="24">
        <f>IF($C51="","",IF(IF(I51&gt;O51,0,O51-I51)&gt;200,200,IF(I51&gt;O51,0,O51-I51)+200))</f>
        <v/>
      </c>
      <c r="R51" s="34">
        <f>IF($C51="","",Q51/IF(H51&lt;200,J51,H51-200+J51))</f>
        <v/>
      </c>
      <c r="S51" s="24">
        <f>IF($C51="","",IF(IF(H51&lt;200,J51,H51-200+J51)&gt;Q51,0,Q51-IF(H51&lt;200,J51,H51-200+J51)))</f>
        <v/>
      </c>
      <c r="T51" s="34">
        <f>IF($C51="","",S51/(IF(IF(H51&gt;200,I51,I51-(200-H51))&lt;0,0,IF(H51&gt;200,I51,I51-(200-H51)))+(G51-SUM(H51:J51))))</f>
        <v/>
      </c>
      <c r="U51" s="24" t="n"/>
      <c r="V51" s="24" t="n"/>
    </row>
    <row r="52" ht="15" customHeight="1" s="19">
      <c r="A52" s="24" t="n"/>
      <c r="B52" s="24" t="n"/>
      <c r="C52" s="24" t="n"/>
      <c r="D52" s="24" t="n"/>
      <c r="E52" s="24" t="n"/>
      <c r="F52" s="24" t="n"/>
      <c r="G52" s="24">
        <f>IF($C52="","",C52/$G$1)</f>
        <v/>
      </c>
      <c r="H52" s="24">
        <f>IF($C52="","",D52/$G$1)</f>
        <v/>
      </c>
      <c r="I52" s="24">
        <f>IF($C52="","",E52/$G$1)</f>
        <v/>
      </c>
      <c r="J52" s="24">
        <f>IF($C52="","",F52/$G$1)</f>
        <v/>
      </c>
      <c r="K52" s="24">
        <f>IF($C52="","",H52+J52)</f>
        <v/>
      </c>
      <c r="L52" s="24">
        <f>IF($C52="","",H52+I52)</f>
        <v/>
      </c>
      <c r="M52" s="33">
        <f>IF($C52="","",L52/G52)</f>
        <v/>
      </c>
      <c r="N52" s="34">
        <f>IF($C52="","",200/H52)</f>
        <v/>
      </c>
      <c r="O52" s="24">
        <f>IF($C52="","",IF(H52&gt;200,0,200-H52))</f>
        <v/>
      </c>
      <c r="P52" s="34">
        <f>IF($C52="","",O52/I52)</f>
        <v/>
      </c>
      <c r="Q52" s="24">
        <f>IF($C52="","",IF(IF(I52&gt;O52,0,O52-I52)&gt;200,200,IF(I52&gt;O52,0,O52-I52)+200))</f>
        <v/>
      </c>
      <c r="R52" s="34">
        <f>IF($C52="","",Q52/IF(H52&lt;200,J52,H52-200+J52))</f>
        <v/>
      </c>
      <c r="S52" s="24">
        <f>IF($C52="","",IF(IF(H52&lt;200,J52,H52-200+J52)&gt;Q52,0,Q52-IF(H52&lt;200,J52,H52-200+J52)))</f>
        <v/>
      </c>
      <c r="T52" s="34">
        <f>IF($C52="","",S52/(IF(IF(H52&gt;200,I52,I52-(200-H52))&lt;0,0,IF(H52&gt;200,I52,I52-(200-H52)))+(G52-SUM(H52:J52))))</f>
        <v/>
      </c>
      <c r="U52" s="24" t="n"/>
      <c r="V52" s="24" t="n"/>
    </row>
    <row r="53" ht="15" customHeight="1" s="19">
      <c r="A53" s="24" t="n"/>
      <c r="B53" s="24" t="n"/>
      <c r="C53" s="24" t="n"/>
      <c r="D53" s="24" t="n"/>
      <c r="E53" s="24" t="n"/>
      <c r="F53" s="24" t="n"/>
      <c r="G53" s="24">
        <f>IF($C53="","",C53/$G$1)</f>
        <v/>
      </c>
      <c r="H53" s="24">
        <f>IF($C53="","",D53/$G$1)</f>
        <v/>
      </c>
      <c r="I53" s="24">
        <f>IF($C53="","",E53/$G$1)</f>
        <v/>
      </c>
      <c r="J53" s="24">
        <f>IF($C53="","",F53/$G$1)</f>
        <v/>
      </c>
      <c r="K53" s="24">
        <f>IF($C53="","",H53+J53)</f>
        <v/>
      </c>
      <c r="L53" s="24">
        <f>IF($C53="","",H53+I53)</f>
        <v/>
      </c>
      <c r="M53" s="33">
        <f>IF($C53="","",L53/G53)</f>
        <v/>
      </c>
      <c r="N53" s="34">
        <f>IF($C53="","",200/H53)</f>
        <v/>
      </c>
      <c r="O53" s="24">
        <f>IF($C53="","",IF(H53&gt;200,0,200-H53))</f>
        <v/>
      </c>
      <c r="P53" s="34">
        <f>IF($C53="","",O53/I53)</f>
        <v/>
      </c>
      <c r="Q53" s="24">
        <f>IF($C53="","",IF(IF(I53&gt;O53,0,O53-I53)&gt;200,200,IF(I53&gt;O53,0,O53-I53)+200))</f>
        <v/>
      </c>
      <c r="R53" s="34">
        <f>IF($C53="","",Q53/IF(H53&lt;200,J53,H53-200+J53))</f>
        <v/>
      </c>
      <c r="S53" s="24">
        <f>IF($C53="","",IF(IF(H53&lt;200,J53,H53-200+J53)&gt;Q53,0,Q53-IF(H53&lt;200,J53,H53-200+J53)))</f>
        <v/>
      </c>
      <c r="T53" s="34">
        <f>IF($C53="","",S53/(IF(IF(H53&gt;200,I53,I53-(200-H53))&lt;0,0,IF(H53&gt;200,I53,I53-(200-H53)))+(G53-SUM(H53:J53))))</f>
        <v/>
      </c>
      <c r="U53" s="24" t="n"/>
      <c r="V53" s="24" t="n"/>
    </row>
    <row r="54" ht="15" customHeight="1" s="19">
      <c r="A54" s="24" t="n"/>
      <c r="B54" s="24" t="n"/>
      <c r="C54" s="24" t="n"/>
      <c r="D54" s="24" t="n"/>
      <c r="E54" s="24" t="n"/>
      <c r="F54" s="24" t="n"/>
      <c r="G54" s="24">
        <f>IF($C54="","",C54/$G$1)</f>
        <v/>
      </c>
      <c r="H54" s="24">
        <f>IF($C54="","",D54/$G$1)</f>
        <v/>
      </c>
      <c r="I54" s="24">
        <f>IF($C54="","",E54/$G$1)</f>
        <v/>
      </c>
      <c r="J54" s="24">
        <f>IF($C54="","",F54/$G$1)</f>
        <v/>
      </c>
      <c r="K54" s="24">
        <f>IF($C54="","",H54+J54)</f>
        <v/>
      </c>
      <c r="L54" s="24">
        <f>IF($C54="","",H54+I54)</f>
        <v/>
      </c>
      <c r="M54" s="33">
        <f>IF($C54="","",L54/G54)</f>
        <v/>
      </c>
      <c r="N54" s="34">
        <f>IF($C54="","",200/H54)</f>
        <v/>
      </c>
      <c r="O54" s="24">
        <f>IF($C54="","",IF(H54&gt;200,0,200-H54))</f>
        <v/>
      </c>
      <c r="P54" s="34">
        <f>IF($C54="","",O54/I54)</f>
        <v/>
      </c>
      <c r="Q54" s="24">
        <f>IF($C54="","",IF(IF(I54&gt;O54,0,O54-I54)&gt;200,200,IF(I54&gt;O54,0,O54-I54)+200))</f>
        <v/>
      </c>
      <c r="R54" s="34">
        <f>IF($C54="","",Q54/IF(H54&lt;200,J54,H54-200+J54))</f>
        <v/>
      </c>
      <c r="S54" s="24">
        <f>IF($C54="","",IF(IF(H54&lt;200,J54,H54-200+J54)&gt;Q54,0,Q54-IF(H54&lt;200,J54,H54-200+J54)))</f>
        <v/>
      </c>
      <c r="T54" s="34">
        <f>IF($C54="","",S54/(IF(IF(H54&gt;200,I54,I54-(200-H54))&lt;0,0,IF(H54&gt;200,I54,I54-(200-H54)))+(G54-SUM(H54:J54))))</f>
        <v/>
      </c>
      <c r="U54" s="24" t="n"/>
      <c r="V54" s="24" t="n"/>
    </row>
    <row r="55" ht="15" customHeight="1" s="19">
      <c r="A55" s="24" t="n"/>
      <c r="B55" s="24" t="n"/>
      <c r="C55" s="24" t="n"/>
      <c r="D55" s="24" t="n"/>
      <c r="E55" s="24" t="n"/>
      <c r="F55" s="24" t="n"/>
      <c r="G55" s="24">
        <f>IF($C55="","",C55/$G$1)</f>
        <v/>
      </c>
      <c r="H55" s="24">
        <f>IF($C55="","",D55/$G$1)</f>
        <v/>
      </c>
      <c r="I55" s="24">
        <f>IF($C55="","",E55/$G$1)</f>
        <v/>
      </c>
      <c r="J55" s="24">
        <f>IF($C55="","",F55/$G$1)</f>
        <v/>
      </c>
      <c r="K55" s="24">
        <f>IF($C55="","",H55+J55)</f>
        <v/>
      </c>
      <c r="L55" s="24">
        <f>IF($C55="","",H55+I55)</f>
        <v/>
      </c>
      <c r="M55" s="33">
        <f>IF($C55="","",L55/G55)</f>
        <v/>
      </c>
      <c r="N55" s="34">
        <f>IF($C55="","",200/H55)</f>
        <v/>
      </c>
      <c r="O55" s="24">
        <f>IF($C55="","",IF(H55&gt;200,0,200-H55))</f>
        <v/>
      </c>
      <c r="P55" s="34">
        <f>IF($C55="","",O55/I55)</f>
        <v/>
      </c>
      <c r="Q55" s="24">
        <f>IF($C55="","",IF(IF(I55&gt;O55,0,O55-I55)&gt;200,200,IF(I55&gt;O55,0,O55-I55)+200))</f>
        <v/>
      </c>
      <c r="R55" s="34">
        <f>IF($C55="","",Q55/IF(H55&lt;200,J55,H55-200+J55))</f>
        <v/>
      </c>
      <c r="S55" s="24">
        <f>IF($C55="","",IF(IF(H55&lt;200,J55,H55-200+J55)&gt;Q55,0,Q55-IF(H55&lt;200,J55,H55-200+J55)))</f>
        <v/>
      </c>
      <c r="T55" s="34">
        <f>IF($C55="","",S55/(IF(IF(H55&gt;200,I55,I55-(200-H55))&lt;0,0,IF(H55&gt;200,I55,I55-(200-H55)))+(G55-SUM(H55:J55))))</f>
        <v/>
      </c>
      <c r="U55" s="24" t="n"/>
      <c r="V55" s="24" t="n"/>
    </row>
    <row r="56" ht="15" customHeight="1" s="19">
      <c r="A56" s="24" t="n"/>
      <c r="B56" s="24" t="n"/>
      <c r="C56" s="24" t="n"/>
      <c r="D56" s="24" t="n"/>
      <c r="E56" s="24" t="n"/>
      <c r="F56" s="24" t="n"/>
      <c r="G56" s="24">
        <f>IF($C56="","",C56/$G$1)</f>
        <v/>
      </c>
      <c r="H56" s="24">
        <f>IF($C56="","",D56/$G$1)</f>
        <v/>
      </c>
      <c r="I56" s="24">
        <f>IF($C56="","",E56/$G$1)</f>
        <v/>
      </c>
      <c r="J56" s="24">
        <f>IF($C56="","",F56/$G$1)</f>
        <v/>
      </c>
      <c r="K56" s="24">
        <f>IF($C56="","",H56+J56)</f>
        <v/>
      </c>
      <c r="L56" s="24">
        <f>IF($C56="","",H56+I56)</f>
        <v/>
      </c>
      <c r="M56" s="33">
        <f>IF($C56="","",L56/G56)</f>
        <v/>
      </c>
      <c r="N56" s="34">
        <f>IF($C56="","",200/H56)</f>
        <v/>
      </c>
      <c r="O56" s="24">
        <f>IF($C56="","",IF(H56&gt;200,0,200-H56))</f>
        <v/>
      </c>
      <c r="P56" s="34">
        <f>IF($C56="","",O56/I56)</f>
        <v/>
      </c>
      <c r="Q56" s="24">
        <f>IF($C56="","",IF(IF(I56&gt;O56,0,O56-I56)&gt;200,200,IF(I56&gt;O56,0,O56-I56)+200))</f>
        <v/>
      </c>
      <c r="R56" s="34">
        <f>IF($C56="","",Q56/IF(H56&lt;200,J56,H56-200+J56))</f>
        <v/>
      </c>
      <c r="S56" s="24">
        <f>IF($C56="","",IF(IF(H56&lt;200,J56,H56-200+J56)&gt;Q56,0,Q56-IF(H56&lt;200,J56,H56-200+J56)))</f>
        <v/>
      </c>
      <c r="T56" s="34">
        <f>IF($C56="","",S56/(IF(IF(H56&gt;200,I56,I56-(200-H56))&lt;0,0,IF(H56&gt;200,I56,I56-(200-H56)))+(G56-SUM(H56:J56))))</f>
        <v/>
      </c>
      <c r="U56" s="24" t="n"/>
      <c r="V56" s="24" t="n"/>
    </row>
    <row r="57" ht="15" customHeight="1" s="19">
      <c r="A57" s="24" t="n"/>
      <c r="B57" s="24" t="n"/>
      <c r="C57" s="24" t="n"/>
      <c r="D57" s="24" t="n"/>
      <c r="E57" s="24" t="n"/>
      <c r="F57" s="24" t="n"/>
      <c r="G57" s="24">
        <f>IF($C57="","",C57/$G$1)</f>
        <v/>
      </c>
      <c r="H57" s="24">
        <f>IF($C57="","",D57/$G$1)</f>
        <v/>
      </c>
      <c r="I57" s="24">
        <f>IF($C57="","",E57/$G$1)</f>
        <v/>
      </c>
      <c r="J57" s="24">
        <f>IF($C57="","",F57/$G$1)</f>
        <v/>
      </c>
      <c r="K57" s="24">
        <f>IF($C57="","",H57+J57)</f>
        <v/>
      </c>
      <c r="L57" s="24">
        <f>IF($C57="","",H57+I57)</f>
        <v/>
      </c>
      <c r="M57" s="33">
        <f>IF($C57="","",L57/G57)</f>
        <v/>
      </c>
      <c r="N57" s="34">
        <f>IF($C57="","",200/H57)</f>
        <v/>
      </c>
      <c r="O57" s="24">
        <f>IF($C57="","",IF(H57&gt;200,0,200-H57))</f>
        <v/>
      </c>
      <c r="P57" s="34">
        <f>IF($C57="","",O57/I57)</f>
        <v/>
      </c>
      <c r="Q57" s="24">
        <f>IF($C57="","",IF(IF(I57&gt;O57,0,O57-I57)&gt;200,200,IF(I57&gt;O57,0,O57-I57)+200))</f>
        <v/>
      </c>
      <c r="R57" s="34">
        <f>IF($C57="","",Q57/IF(H57&lt;200,J57,H57-200+J57))</f>
        <v/>
      </c>
      <c r="S57" s="24">
        <f>IF($C57="","",IF(IF(H57&lt;200,J57,H57-200+J57)&gt;Q57,0,Q57-IF(H57&lt;200,J57,H57-200+J57)))</f>
        <v/>
      </c>
      <c r="T57" s="34">
        <f>IF($C57="","",S57/(IF(IF(H57&gt;200,I57,I57-(200-H57))&lt;0,0,IF(H57&gt;200,I57,I57-(200-H57)))+(G57-SUM(H57:J57))))</f>
        <v/>
      </c>
      <c r="U57" s="24" t="n"/>
      <c r="V57" s="24" t="n"/>
    </row>
    <row r="58" ht="15" customHeight="1" s="19">
      <c r="A58" s="24" t="n"/>
      <c r="B58" s="24" t="n"/>
      <c r="C58" s="24" t="n"/>
      <c r="D58" s="24" t="n"/>
      <c r="E58" s="24" t="n"/>
      <c r="F58" s="24" t="n"/>
      <c r="G58" s="24">
        <f>IF($C58="","",C58/$G$1)</f>
        <v/>
      </c>
      <c r="H58" s="24">
        <f>IF($C58="","",D58/$G$1)</f>
        <v/>
      </c>
      <c r="I58" s="24">
        <f>IF($C58="","",E58/$G$1)</f>
        <v/>
      </c>
      <c r="J58" s="24">
        <f>IF($C58="","",F58/$G$1)</f>
        <v/>
      </c>
      <c r="K58" s="24">
        <f>IF($C58="","",H58+J58)</f>
        <v/>
      </c>
      <c r="L58" s="24">
        <f>IF($C58="","",H58+I58)</f>
        <v/>
      </c>
      <c r="M58" s="33">
        <f>IF($C58="","",L58/G58)</f>
        <v/>
      </c>
      <c r="N58" s="34">
        <f>IF($C58="","",200/H58)</f>
        <v/>
      </c>
      <c r="O58" s="24">
        <f>IF($C58="","",IF(H58&gt;200,0,200-H58))</f>
        <v/>
      </c>
      <c r="P58" s="34">
        <f>IF($C58="","",O58/I58)</f>
        <v/>
      </c>
      <c r="Q58" s="24">
        <f>IF($C58="","",IF(IF(I58&gt;O58,0,O58-I58)&gt;200,200,IF(I58&gt;O58,0,O58-I58)+200))</f>
        <v/>
      </c>
      <c r="R58" s="34">
        <f>IF($C58="","",Q58/IF(H58&lt;200,J58,H58-200+J58))</f>
        <v/>
      </c>
      <c r="S58" s="24">
        <f>IF($C58="","",IF(IF(H58&lt;200,J58,H58-200+J58)&gt;Q58,0,Q58-IF(H58&lt;200,J58,H58-200+J58)))</f>
        <v/>
      </c>
      <c r="T58" s="34">
        <f>IF($C58="","",S58/(IF(IF(H58&gt;200,I58,I58-(200-H58))&lt;0,0,IF(H58&gt;200,I58,I58-(200-H58)))+(G58-SUM(H58:J58))))</f>
        <v/>
      </c>
      <c r="U58" s="24" t="n"/>
      <c r="V58" s="24" t="n"/>
    </row>
    <row r="59" ht="15" customHeight="1" s="19">
      <c r="A59" s="24" t="n"/>
      <c r="B59" s="24" t="n"/>
      <c r="C59" s="24" t="n"/>
      <c r="D59" s="24" t="n"/>
      <c r="E59" s="24" t="n"/>
      <c r="F59" s="24" t="n"/>
      <c r="G59" s="24">
        <f>IF($C59="","",C59/$G$1)</f>
        <v/>
      </c>
      <c r="H59" s="24">
        <f>IF($C59="","",D59/$G$1)</f>
        <v/>
      </c>
      <c r="I59" s="24">
        <f>IF($C59="","",E59/$G$1)</f>
        <v/>
      </c>
      <c r="J59" s="24">
        <f>IF($C59="","",F59/$G$1)</f>
        <v/>
      </c>
      <c r="K59" s="24">
        <f>IF($C59="","",H59+J59)</f>
        <v/>
      </c>
      <c r="L59" s="24">
        <f>IF($C59="","",H59+I59)</f>
        <v/>
      </c>
      <c r="M59" s="33">
        <f>IF($C59="","",L59/G59)</f>
        <v/>
      </c>
      <c r="N59" s="34">
        <f>IF($C59="","",200/H59)</f>
        <v/>
      </c>
      <c r="O59" s="24">
        <f>IF($C59="","",IF(H59&gt;200,0,200-H59))</f>
        <v/>
      </c>
      <c r="P59" s="34">
        <f>IF($C59="","",O59/I59)</f>
        <v/>
      </c>
      <c r="Q59" s="24">
        <f>IF($C59="","",IF(IF(I59&gt;O59,0,O59-I59)&gt;200,200,IF(I59&gt;O59,0,O59-I59)+200))</f>
        <v/>
      </c>
      <c r="R59" s="34">
        <f>IF($C59="","",Q59/IF(H59&lt;200,J59,H59-200+J59))</f>
        <v/>
      </c>
      <c r="S59" s="24">
        <f>IF($C59="","",IF(IF(H59&lt;200,J59,H59-200+J59)&gt;Q59,0,Q59-IF(H59&lt;200,J59,H59-200+J59)))</f>
        <v/>
      </c>
      <c r="T59" s="34">
        <f>IF($C59="","",S59/(IF(IF(H59&gt;200,I59,I59-(200-H59))&lt;0,0,IF(H59&gt;200,I59,I59-(200-H59)))+(G59-SUM(H59:J59))))</f>
        <v/>
      </c>
      <c r="U59" s="24" t="n"/>
      <c r="V59" s="24" t="n"/>
    </row>
    <row r="60" ht="15" customHeight="1" s="19">
      <c r="A60" s="24" t="n"/>
      <c r="B60" s="24" t="n"/>
      <c r="C60" s="24" t="n"/>
      <c r="D60" s="24" t="n"/>
      <c r="E60" s="24" t="n"/>
      <c r="F60" s="24" t="n"/>
      <c r="G60" s="24">
        <f>IF($C60="","",C60/$G$1)</f>
        <v/>
      </c>
      <c r="H60" s="24">
        <f>IF($C60="","",D60/$G$1)</f>
        <v/>
      </c>
      <c r="I60" s="24">
        <f>IF($C60="","",E60/$G$1)</f>
        <v/>
      </c>
      <c r="J60" s="24">
        <f>IF($C60="","",F60/$G$1)</f>
        <v/>
      </c>
      <c r="K60" s="24">
        <f>IF($C60="","",H60+J60)</f>
        <v/>
      </c>
      <c r="L60" s="24">
        <f>IF($C60="","",H60+I60)</f>
        <v/>
      </c>
      <c r="M60" s="33">
        <f>IF($C60="","",L60/G60)</f>
        <v/>
      </c>
      <c r="N60" s="34">
        <f>IF($C60="","",200/H60)</f>
        <v/>
      </c>
      <c r="O60" s="24">
        <f>IF($C60="","",IF(H60&gt;200,0,200-H60))</f>
        <v/>
      </c>
      <c r="P60" s="34">
        <f>IF($C60="","",O60/I60)</f>
        <v/>
      </c>
      <c r="Q60" s="24">
        <f>IF($C60="","",IF(IF(I60&gt;O60,0,O60-I60)&gt;200,200,IF(I60&gt;O60,0,O60-I60)+200))</f>
        <v/>
      </c>
      <c r="R60" s="34">
        <f>IF($C60="","",Q60/IF(H60&lt;200,J60,H60-200+J60))</f>
        <v/>
      </c>
      <c r="S60" s="24">
        <f>IF($C60="","",IF(IF(H60&lt;200,J60,H60-200+J60)&gt;Q60,0,Q60-IF(H60&lt;200,J60,H60-200+J60)))</f>
        <v/>
      </c>
      <c r="T60" s="34">
        <f>IF($C60="","",S60/(IF(IF(H60&gt;200,I60,I60-(200-H60))&lt;0,0,IF(H60&gt;200,I60,I60-(200-H60)))+(G60-SUM(H60:J60))))</f>
        <v/>
      </c>
      <c r="U60" s="24" t="n"/>
      <c r="V60" s="24" t="n"/>
    </row>
    <row r="61" ht="15" customHeight="1" s="19">
      <c r="A61" s="24" t="n"/>
      <c r="B61" s="24" t="n"/>
      <c r="C61" s="24" t="n"/>
      <c r="D61" s="24" t="n"/>
      <c r="E61" s="24" t="n"/>
      <c r="F61" s="24" t="n"/>
      <c r="G61" s="24">
        <f>IF($C61="","",C61/$G$1)</f>
        <v/>
      </c>
      <c r="H61" s="24">
        <f>IF($C61="","",D61/$G$1)</f>
        <v/>
      </c>
      <c r="I61" s="24">
        <f>IF($C61="","",E61/$G$1)</f>
        <v/>
      </c>
      <c r="J61" s="24">
        <f>IF($C61="","",F61/$G$1)</f>
        <v/>
      </c>
      <c r="K61" s="24">
        <f>IF($C61="","",H61+J61)</f>
        <v/>
      </c>
      <c r="L61" s="24">
        <f>IF($C61="","",H61+I61)</f>
        <v/>
      </c>
      <c r="M61" s="33">
        <f>IF($C61="","",L61/G61)</f>
        <v/>
      </c>
      <c r="N61" s="34">
        <f>IF($C61="","",200/H61)</f>
        <v/>
      </c>
      <c r="O61" s="24">
        <f>IF($C61="","",IF(H61&gt;200,0,200-H61))</f>
        <v/>
      </c>
      <c r="P61" s="34">
        <f>IF($C61="","",O61/I61)</f>
        <v/>
      </c>
      <c r="Q61" s="24">
        <f>IF($C61="","",IF(IF(I61&gt;O61,0,O61-I61)&gt;200,200,IF(I61&gt;O61,0,O61-I61)+200))</f>
        <v/>
      </c>
      <c r="R61" s="34">
        <f>IF($C61="","",Q61/IF(H61&lt;200,J61,H61-200+J61))</f>
        <v/>
      </c>
      <c r="S61" s="24">
        <f>IF($C61="","",IF(IF(H61&lt;200,J61,H61-200+J61)&gt;Q61,0,Q61-IF(H61&lt;200,J61,H61-200+J61)))</f>
        <v/>
      </c>
      <c r="T61" s="34">
        <f>IF($C61="","",S61/(IF(IF(H61&gt;200,I61,I61-(200-H61))&lt;0,0,IF(H61&gt;200,I61,I61-(200-H61)))+(G61-SUM(H61:J61))))</f>
        <v/>
      </c>
      <c r="U61" s="24" t="n"/>
      <c r="V61" s="24" t="n"/>
    </row>
    <row r="62" ht="15" customHeight="1" s="19">
      <c r="A62" s="24" t="n"/>
      <c r="B62" s="24" t="n"/>
      <c r="C62" s="24" t="n"/>
      <c r="D62" s="24" t="n"/>
      <c r="E62" s="24" t="n"/>
      <c r="F62" s="24" t="n"/>
      <c r="G62" s="24">
        <f>IF($C62="","",C62/$G$1)</f>
        <v/>
      </c>
      <c r="H62" s="24">
        <f>IF($C62="","",D62/$G$1)</f>
        <v/>
      </c>
      <c r="I62" s="24">
        <f>IF($C62="","",E62/$G$1)</f>
        <v/>
      </c>
      <c r="J62" s="24">
        <f>IF($C62="","",F62/$G$1)</f>
        <v/>
      </c>
      <c r="K62" s="24">
        <f>IF($C62="","",H62+J62)</f>
        <v/>
      </c>
      <c r="L62" s="24">
        <f>IF($C62="","",H62+I62)</f>
        <v/>
      </c>
      <c r="M62" s="33">
        <f>IF($C62="","",L62/G62)</f>
        <v/>
      </c>
      <c r="N62" s="34">
        <f>IF($C62="","",200/H62)</f>
        <v/>
      </c>
      <c r="O62" s="24">
        <f>IF($C62="","",IF(H62&gt;200,0,200-H62))</f>
        <v/>
      </c>
      <c r="P62" s="34">
        <f>IF($C62="","",O62/I62)</f>
        <v/>
      </c>
      <c r="Q62" s="24">
        <f>IF($C62="","",IF(IF(I62&gt;O62,0,O62-I62)&gt;200,200,IF(I62&gt;O62,0,O62-I62)+200))</f>
        <v/>
      </c>
      <c r="R62" s="34">
        <f>IF($C62="","",Q62/IF(H62&lt;200,J62,H62-200+J62))</f>
        <v/>
      </c>
      <c r="S62" s="24">
        <f>IF($C62="","",IF(IF(H62&lt;200,J62,H62-200+J62)&gt;Q62,0,Q62-IF(H62&lt;200,J62,H62-200+J62)))</f>
        <v/>
      </c>
      <c r="T62" s="34">
        <f>IF($C62="","",S62/(IF(IF(H62&gt;200,I62,I62-(200-H62))&lt;0,0,IF(H62&gt;200,I62,I62-(200-H62)))+(G62-SUM(H62:J62))))</f>
        <v/>
      </c>
      <c r="U62" s="24" t="n"/>
      <c r="V62" s="24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K4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15" zeroHeight="0" outlineLevelRow="0"/>
  <cols>
    <col width="7.8" customWidth="1" style="18" min="1" max="1"/>
    <col width="30.1" customWidth="1" style="18" min="2" max="2"/>
  </cols>
  <sheetData>
    <row r="1" ht="15" customHeight="1" s="19">
      <c r="A1" s="25" t="inlineStr">
        <is>
          <t>番号</t>
        </is>
      </c>
      <c r="B1" s="25" t="inlineStr">
        <is>
          <t>募集馬名</t>
        </is>
      </c>
      <c r="C1" s="25" t="inlineStr">
        <is>
          <t>総数</t>
        </is>
      </c>
      <c r="D1" s="25" t="inlineStr">
        <is>
          <t>最優先</t>
        </is>
      </c>
      <c r="E1" s="32" t="n">
        <v>0.234</v>
      </c>
      <c r="F1" s="24" t="n"/>
      <c r="G1" s="25" t="inlineStr">
        <is>
          <t>①最優先</t>
        </is>
      </c>
      <c r="H1" s="24" t="n"/>
      <c r="I1" s="25" t="inlineStr">
        <is>
          <t>②一般</t>
        </is>
      </c>
      <c r="J1" s="25" t="inlineStr">
        <is>
          <t>抽選</t>
        </is>
      </c>
      <c r="K1" s="25" t="inlineStr">
        <is>
          <t>結果</t>
        </is>
      </c>
    </row>
    <row r="2" ht="15" customHeight="1" s="19">
      <c r="A2" s="24" t="n"/>
      <c r="B2" s="24" t="n"/>
      <c r="C2" s="24" t="n"/>
      <c r="D2" s="24" t="n"/>
      <c r="E2" s="24">
        <f>IF($C2="","",C2/$E$1)</f>
        <v/>
      </c>
      <c r="F2" s="24">
        <f>IF($C2="","",D2/$E$1)</f>
        <v/>
      </c>
      <c r="G2" s="34">
        <f>IF($C2="","",400/F2)</f>
        <v/>
      </c>
      <c r="H2" s="24">
        <f>IF($C2="","",IF(F2&gt;400,0,400-F2))</f>
        <v/>
      </c>
      <c r="I2" s="34">
        <f>IF($C2="","",H2/(E2-F2))</f>
        <v/>
      </c>
      <c r="J2" s="24" t="n"/>
      <c r="K2" s="24" t="n"/>
    </row>
    <row r="3" ht="15" customHeight="1" s="19">
      <c r="A3" s="24" t="n"/>
      <c r="B3" s="24" t="n"/>
      <c r="C3" s="24" t="n"/>
      <c r="D3" s="24" t="n"/>
      <c r="E3" s="24">
        <f>IF($C3="","",C3/$E$1)</f>
        <v/>
      </c>
      <c r="F3" s="24">
        <f>IF($C3="","",D3/$E$1)</f>
        <v/>
      </c>
      <c r="G3" s="34">
        <f>IF($C3="","",400/F3)</f>
        <v/>
      </c>
      <c r="H3" s="24">
        <f>IF($C3="","",IF(F3&gt;400,0,400-F3))</f>
        <v/>
      </c>
      <c r="I3" s="34">
        <f>IF($C3="","",H3/(E3-F3))</f>
        <v/>
      </c>
      <c r="J3" s="24" t="n"/>
      <c r="K3" s="24" t="n"/>
    </row>
    <row r="4" ht="15" customHeight="1" s="19">
      <c r="A4" s="24" t="n"/>
      <c r="B4" s="24" t="n"/>
      <c r="C4" s="24" t="n"/>
      <c r="D4" s="24" t="n"/>
      <c r="E4" s="24">
        <f>IF($C4="","",C4/$E$1)</f>
        <v/>
      </c>
      <c r="F4" s="24">
        <f>IF($C4="","",D4/$E$1)</f>
        <v/>
      </c>
      <c r="G4" s="34">
        <f>IF($C4="","",400/F4)</f>
        <v/>
      </c>
      <c r="H4" s="24">
        <f>IF($C4="","",IF(F4&gt;400,0,400-F4))</f>
        <v/>
      </c>
      <c r="I4" s="34">
        <f>IF($C4="","",H4/(E4-F4))</f>
        <v/>
      </c>
      <c r="J4" s="24" t="n"/>
      <c r="K4" s="24" t="n"/>
    </row>
    <row r="5" ht="15" customHeight="1" s="19">
      <c r="A5" s="24" t="n"/>
      <c r="B5" s="24" t="n"/>
      <c r="C5" s="24" t="n"/>
      <c r="D5" s="24" t="n"/>
      <c r="E5" s="24">
        <f>IF($C5="","",C5/$E$1)</f>
        <v/>
      </c>
      <c r="F5" s="24">
        <f>IF($C5="","",D5/$E$1)</f>
        <v/>
      </c>
      <c r="G5" s="34">
        <f>IF($C5="","",400/F5)</f>
        <v/>
      </c>
      <c r="H5" s="24">
        <f>IF($C5="","",IF(F5&gt;400,0,400-F5))</f>
        <v/>
      </c>
      <c r="I5" s="34">
        <f>IF($C5="","",H5/(E5-F5))</f>
        <v/>
      </c>
      <c r="J5" s="24" t="n"/>
      <c r="K5" s="24" t="n"/>
    </row>
    <row r="6" ht="15" customHeight="1" s="19">
      <c r="A6" s="24" t="n"/>
      <c r="B6" s="24" t="n"/>
      <c r="C6" s="24" t="n"/>
      <c r="D6" s="24" t="n"/>
      <c r="E6" s="24">
        <f>IF($C6="","",C6/$E$1)</f>
        <v/>
      </c>
      <c r="F6" s="24">
        <f>IF($C6="","",D6/$E$1)</f>
        <v/>
      </c>
      <c r="G6" s="34">
        <f>IF($C6="","",400/F6)</f>
        <v/>
      </c>
      <c r="H6" s="24">
        <f>IF($C6="","",IF(F6&gt;400,0,400-F6))</f>
        <v/>
      </c>
      <c r="I6" s="34">
        <f>IF($C6="","",H6/(E6-F6))</f>
        <v/>
      </c>
      <c r="J6" s="24" t="n"/>
      <c r="K6" s="24" t="n"/>
    </row>
    <row r="7" ht="15" customHeight="1" s="19">
      <c r="A7" s="24" t="n"/>
      <c r="B7" s="24" t="n"/>
      <c r="C7" s="24" t="n"/>
      <c r="D7" s="24" t="n"/>
      <c r="E7" s="24">
        <f>IF($C7="","",C7/$E$1)</f>
        <v/>
      </c>
      <c r="F7" s="24">
        <f>IF($C7="","",D7/$E$1)</f>
        <v/>
      </c>
      <c r="G7" s="34">
        <f>IF($C7="","",400/F7)</f>
        <v/>
      </c>
      <c r="H7" s="24">
        <f>IF($C7="","",IF(F7&gt;400,0,400-F7))</f>
        <v/>
      </c>
      <c r="I7" s="34">
        <f>IF($C7="","",H7/(E7-F7))</f>
        <v/>
      </c>
      <c r="J7" s="24" t="n"/>
      <c r="K7" s="24" t="n"/>
    </row>
    <row r="8" ht="15" customHeight="1" s="19">
      <c r="A8" s="24" t="n"/>
      <c r="B8" s="24" t="n"/>
      <c r="C8" s="24" t="n"/>
      <c r="D8" s="24" t="n"/>
      <c r="E8" s="24">
        <f>IF($C8="","",C8/$E$1)</f>
        <v/>
      </c>
      <c r="F8" s="24">
        <f>IF($C8="","",D8/$E$1)</f>
        <v/>
      </c>
      <c r="G8" s="34">
        <f>IF($C8="","",400/F8)</f>
        <v/>
      </c>
      <c r="H8" s="24">
        <f>IF($C8="","",IF(F8&gt;400,0,400-F8))</f>
        <v/>
      </c>
      <c r="I8" s="34">
        <f>IF($C8="","",H8/(E8-F8))</f>
        <v/>
      </c>
      <c r="J8" s="24" t="n"/>
      <c r="K8" s="24" t="n"/>
    </row>
    <row r="9" ht="15" customHeight="1" s="19">
      <c r="A9" s="24" t="n"/>
      <c r="B9" s="24" t="n"/>
      <c r="C9" s="24" t="n"/>
      <c r="D9" s="24" t="n"/>
      <c r="E9" s="24">
        <f>IF($C9="","",C9/$E$1)</f>
        <v/>
      </c>
      <c r="F9" s="24">
        <f>IF($C9="","",D9/$E$1)</f>
        <v/>
      </c>
      <c r="G9" s="34">
        <f>IF($C9="","",400/F9)</f>
        <v/>
      </c>
      <c r="H9" s="24">
        <f>IF($C9="","",IF(F9&gt;400,0,400-F9))</f>
        <v/>
      </c>
      <c r="I9" s="34">
        <f>IF($C9="","",H9/(E9-F9))</f>
        <v/>
      </c>
      <c r="J9" s="24" t="n"/>
      <c r="K9" s="24" t="n"/>
    </row>
    <row r="10" ht="15" customHeight="1" s="19">
      <c r="A10" s="24" t="n"/>
      <c r="B10" s="24" t="n"/>
      <c r="C10" s="24" t="n"/>
      <c r="D10" s="24" t="n"/>
      <c r="E10" s="24">
        <f>IF($C10="","",C10/$E$1)</f>
        <v/>
      </c>
      <c r="F10" s="24">
        <f>IF($C10="","",D10/$E$1)</f>
        <v/>
      </c>
      <c r="G10" s="34">
        <f>IF($C10="","",400/F10)</f>
        <v/>
      </c>
      <c r="H10" s="24">
        <f>IF($C10="","",IF(F10&gt;400,0,400-F10))</f>
        <v/>
      </c>
      <c r="I10" s="34">
        <f>IF($C10="","",H10/(E10-F10))</f>
        <v/>
      </c>
      <c r="J10" s="24" t="n"/>
      <c r="K10" s="24" t="n"/>
    </row>
    <row r="11" ht="15" customHeight="1" s="19">
      <c r="A11" s="24" t="n"/>
      <c r="B11" s="24" t="n"/>
      <c r="C11" s="24" t="n"/>
      <c r="D11" s="24" t="n"/>
      <c r="E11" s="24">
        <f>IF($C11="","",C11/$E$1)</f>
        <v/>
      </c>
      <c r="F11" s="24">
        <f>IF($C11="","",D11/$E$1)</f>
        <v/>
      </c>
      <c r="G11" s="34">
        <f>IF($C11="","",400/F11)</f>
        <v/>
      </c>
      <c r="H11" s="24">
        <f>IF($C11="","",IF(F11&gt;400,0,400-F11))</f>
        <v/>
      </c>
      <c r="I11" s="34">
        <f>IF($C11="","",H11/(E11-F11))</f>
        <v/>
      </c>
      <c r="J11" s="24" t="n"/>
      <c r="K11" s="24" t="n"/>
    </row>
    <row r="12" ht="15" customHeight="1" s="19">
      <c r="A12" s="24" t="n"/>
      <c r="B12" s="24" t="n"/>
      <c r="C12" s="24" t="n"/>
      <c r="D12" s="24" t="n"/>
      <c r="E12" s="24">
        <f>IF($C12="","",C12/$E$1)</f>
        <v/>
      </c>
      <c r="F12" s="24">
        <f>IF($C12="","",D12/$E$1)</f>
        <v/>
      </c>
      <c r="G12" s="34">
        <f>IF($C12="","",400/F12)</f>
        <v/>
      </c>
      <c r="H12" s="24">
        <f>IF($C12="","",IF(F12&gt;400,0,400-F12))</f>
        <v/>
      </c>
      <c r="I12" s="34">
        <f>IF($C12="","",H12/(E12-F12))</f>
        <v/>
      </c>
      <c r="J12" s="24" t="n"/>
      <c r="K12" s="24" t="n"/>
    </row>
    <row r="13" ht="15" customHeight="1" s="19">
      <c r="A13" s="24" t="n"/>
      <c r="B13" s="24" t="n"/>
      <c r="C13" s="24" t="n"/>
      <c r="D13" s="24" t="n"/>
      <c r="E13" s="24">
        <f>IF($C13="","",C13/$E$1)</f>
        <v/>
      </c>
      <c r="F13" s="24">
        <f>IF($C13="","",D13/$E$1)</f>
        <v/>
      </c>
      <c r="G13" s="34">
        <f>IF($C13="","",400/F13)</f>
        <v/>
      </c>
      <c r="H13" s="24">
        <f>IF($C13="","",IF(F13&gt;400,0,400-F13))</f>
        <v/>
      </c>
      <c r="I13" s="34">
        <f>IF($C13="","",H13/(E13-F13))</f>
        <v/>
      </c>
      <c r="J13" s="24" t="n"/>
      <c r="K13" s="24" t="n"/>
    </row>
    <row r="14" ht="15" customHeight="1" s="19">
      <c r="A14" s="24" t="n"/>
      <c r="B14" s="24" t="n"/>
      <c r="C14" s="24" t="n"/>
      <c r="D14" s="24" t="n"/>
      <c r="E14" s="24">
        <f>IF($C14="","",C14/$E$1)</f>
        <v/>
      </c>
      <c r="F14" s="24">
        <f>IF($C14="","",D14/$E$1)</f>
        <v/>
      </c>
      <c r="G14" s="34">
        <f>IF($C14="","",400/F14)</f>
        <v/>
      </c>
      <c r="H14" s="24">
        <f>IF($C14="","",IF(F14&gt;400,0,400-F14))</f>
        <v/>
      </c>
      <c r="I14" s="34">
        <f>IF($C14="","",H14/(E14-F14))</f>
        <v/>
      </c>
      <c r="J14" s="24" t="n"/>
      <c r="K14" s="24" t="n"/>
    </row>
    <row r="15" ht="15" customHeight="1" s="19">
      <c r="A15" s="24" t="n"/>
      <c r="B15" s="24" t="n"/>
      <c r="C15" s="24" t="n"/>
      <c r="D15" s="24" t="n"/>
      <c r="E15" s="24">
        <f>IF($C15="","",C15/$E$1)</f>
        <v/>
      </c>
      <c r="F15" s="24">
        <f>IF($C15="","",D15/$E$1)</f>
        <v/>
      </c>
      <c r="G15" s="34">
        <f>IF($C15="","",400/F15)</f>
        <v/>
      </c>
      <c r="H15" s="24">
        <f>IF($C15="","",IF(F15&gt;400,0,400-F15))</f>
        <v/>
      </c>
      <c r="I15" s="34">
        <f>IF($C15="","",H15/(E15-F15))</f>
        <v/>
      </c>
      <c r="J15" s="24" t="n"/>
      <c r="K15" s="24" t="n"/>
    </row>
    <row r="16" ht="15" customHeight="1" s="19">
      <c r="A16" s="24" t="n"/>
      <c r="B16" s="24" t="n"/>
      <c r="C16" s="24" t="n"/>
      <c r="D16" s="24" t="n"/>
      <c r="E16" s="24">
        <f>IF($C16="","",C16/$E$1)</f>
        <v/>
      </c>
      <c r="F16" s="24">
        <f>IF($C16="","",D16/$E$1)</f>
        <v/>
      </c>
      <c r="G16" s="34">
        <f>IF($C16="","",400/F16)</f>
        <v/>
      </c>
      <c r="H16" s="24">
        <f>IF($C16="","",IF(F16&gt;400,0,400-F16))</f>
        <v/>
      </c>
      <c r="I16" s="34">
        <f>IF($C16="","",H16/(E16-F16))</f>
        <v/>
      </c>
      <c r="J16" s="24" t="n"/>
      <c r="K16" s="24" t="n"/>
    </row>
    <row r="17" ht="15" customHeight="1" s="19">
      <c r="A17" s="24" t="n"/>
      <c r="B17" s="24" t="n"/>
      <c r="C17" s="24" t="n"/>
      <c r="D17" s="24" t="n"/>
      <c r="E17" s="24">
        <f>IF($C17="","",C17/$E$1)</f>
        <v/>
      </c>
      <c r="F17" s="24">
        <f>IF($C17="","",D17/$E$1)</f>
        <v/>
      </c>
      <c r="G17" s="34">
        <f>IF($C17="","",400/F17)</f>
        <v/>
      </c>
      <c r="H17" s="24">
        <f>IF($C17="","",IF(F17&gt;400,0,400-F17))</f>
        <v/>
      </c>
      <c r="I17" s="34">
        <f>IF($C17="","",H17/(E17-F17))</f>
        <v/>
      </c>
      <c r="J17" s="24" t="n"/>
      <c r="K17" s="24" t="n"/>
    </row>
    <row r="18" ht="15" customHeight="1" s="19">
      <c r="A18" s="24" t="n"/>
      <c r="B18" s="24" t="n"/>
      <c r="C18" s="24" t="n"/>
      <c r="D18" s="24" t="n"/>
      <c r="E18" s="24">
        <f>IF($C18="","",C18/$E$1)</f>
        <v/>
      </c>
      <c r="F18" s="24">
        <f>IF($C18="","",D18/$E$1)</f>
        <v/>
      </c>
      <c r="G18" s="34">
        <f>IF($C18="","",400/F18)</f>
        <v/>
      </c>
      <c r="H18" s="24">
        <f>IF($C18="","",IF(F18&gt;400,0,400-F18))</f>
        <v/>
      </c>
      <c r="I18" s="34">
        <f>IF($C18="","",H18/(E18-F18))</f>
        <v/>
      </c>
      <c r="J18" s="24" t="n"/>
      <c r="K18" s="24" t="n"/>
    </row>
    <row r="19" ht="15" customHeight="1" s="19">
      <c r="A19" s="24" t="n"/>
      <c r="B19" s="24" t="n"/>
      <c r="C19" s="24" t="n"/>
      <c r="D19" s="24" t="n"/>
      <c r="E19" s="24">
        <f>IF($C19="","",C19/$E$1)</f>
        <v/>
      </c>
      <c r="F19" s="24">
        <f>IF($C19="","",D19/$E$1)</f>
        <v/>
      </c>
      <c r="G19" s="34">
        <f>IF($C19="","",400/F19)</f>
        <v/>
      </c>
      <c r="H19" s="24">
        <f>IF($C19="","",IF(F19&gt;400,0,400-F19))</f>
        <v/>
      </c>
      <c r="I19" s="34">
        <f>IF($C19="","",H19/(E19-F19))</f>
        <v/>
      </c>
      <c r="J19" s="24" t="n"/>
      <c r="K19" s="24" t="n"/>
    </row>
    <row r="20" ht="15" customHeight="1" s="19">
      <c r="A20" s="24" t="n"/>
      <c r="B20" s="24" t="n"/>
      <c r="C20" s="24" t="n"/>
      <c r="D20" s="24" t="n"/>
      <c r="E20" s="24">
        <f>IF($C20="","",C20/$E$1)</f>
        <v/>
      </c>
      <c r="F20" s="24">
        <f>IF($C20="","",D20/$E$1)</f>
        <v/>
      </c>
      <c r="G20" s="34">
        <f>IF($C20="","",400/F20)</f>
        <v/>
      </c>
      <c r="H20" s="24">
        <f>IF($C20="","",IF(F20&gt;400,0,400-F20))</f>
        <v/>
      </c>
      <c r="I20" s="34">
        <f>IF($C20="","",H20/(E20-F20))</f>
        <v/>
      </c>
      <c r="J20" s="24" t="n"/>
      <c r="K20" s="24" t="n"/>
    </row>
    <row r="21" ht="15" customHeight="1" s="19">
      <c r="A21" s="24" t="n"/>
      <c r="B21" s="24" t="n"/>
      <c r="C21" s="24" t="n"/>
      <c r="D21" s="24" t="n"/>
      <c r="E21" s="24">
        <f>IF($C21="","",C21/$E$1)</f>
        <v/>
      </c>
      <c r="F21" s="24">
        <f>IF($C21="","",D21/$E$1)</f>
        <v/>
      </c>
      <c r="G21" s="34">
        <f>IF($C21="","",400/F21)</f>
        <v/>
      </c>
      <c r="H21" s="24">
        <f>IF($C21="","",IF(F21&gt;400,0,400-F21))</f>
        <v/>
      </c>
      <c r="I21" s="34">
        <f>IF($C21="","",H21/(E21-F21))</f>
        <v/>
      </c>
      <c r="J21" s="24" t="n"/>
      <c r="K21" s="24" t="n"/>
    </row>
    <row r="22" ht="15" customHeight="1" s="19">
      <c r="A22" s="24" t="n"/>
      <c r="B22" s="24" t="n"/>
      <c r="C22" s="24" t="n"/>
      <c r="D22" s="24" t="n"/>
      <c r="E22" s="24">
        <f>IF($C22="","",C22/$E$1)</f>
        <v/>
      </c>
      <c r="F22" s="24">
        <f>IF($C22="","",D22/$E$1)</f>
        <v/>
      </c>
      <c r="G22" s="34">
        <f>IF($C22="","",400/F22)</f>
        <v/>
      </c>
      <c r="H22" s="24">
        <f>IF($C22="","",IF(F22&gt;400,0,400-F22))</f>
        <v/>
      </c>
      <c r="I22" s="34">
        <f>IF($C22="","",H22/(E22-F22))</f>
        <v/>
      </c>
      <c r="J22" s="24" t="n"/>
      <c r="K22" s="24" t="n"/>
    </row>
    <row r="23" ht="15" customHeight="1" s="19">
      <c r="A23" s="24" t="n"/>
      <c r="B23" s="24" t="n"/>
      <c r="C23" s="24" t="n"/>
      <c r="D23" s="24" t="n"/>
      <c r="E23" s="24">
        <f>IF($C23="","",C23/$E$1)</f>
        <v/>
      </c>
      <c r="F23" s="24">
        <f>IF($C23="","",D23/$E$1)</f>
        <v/>
      </c>
      <c r="G23" s="34">
        <f>IF($C23="","",400/F23)</f>
        <v/>
      </c>
      <c r="H23" s="24">
        <f>IF($C23="","",IF(F23&gt;400,0,400-F23))</f>
        <v/>
      </c>
      <c r="I23" s="34">
        <f>IF($C23="","",H23/(E23-F23))</f>
        <v/>
      </c>
      <c r="J23" s="24" t="n"/>
      <c r="K23" s="24" t="n"/>
    </row>
    <row r="24" ht="15" customHeight="1" s="19">
      <c r="A24" s="24" t="n"/>
      <c r="B24" s="24" t="n"/>
      <c r="C24" s="24" t="n"/>
      <c r="D24" s="24" t="n"/>
      <c r="E24" s="24">
        <f>IF($C24="","",C24/$E$1)</f>
        <v/>
      </c>
      <c r="F24" s="24">
        <f>IF($C24="","",D24/$E$1)</f>
        <v/>
      </c>
      <c r="G24" s="34">
        <f>IF($C24="","",400/F24)</f>
        <v/>
      </c>
      <c r="H24" s="24">
        <f>IF($C24="","",IF(F24&gt;400,0,400-F24))</f>
        <v/>
      </c>
      <c r="I24" s="34">
        <f>IF($C24="","",H24/(E24-F24))</f>
        <v/>
      </c>
      <c r="J24" s="24" t="n"/>
      <c r="K24" s="24" t="n"/>
    </row>
    <row r="25" ht="15" customHeight="1" s="19">
      <c r="A25" s="24" t="n"/>
      <c r="B25" s="24" t="n"/>
      <c r="C25" s="24" t="n"/>
      <c r="D25" s="24" t="n"/>
      <c r="E25" s="24">
        <f>IF($C25="","",C25/$E$1)</f>
        <v/>
      </c>
      <c r="F25" s="24">
        <f>IF($C25="","",D25/$E$1)</f>
        <v/>
      </c>
      <c r="G25" s="34">
        <f>IF($C25="","",400/F25)</f>
        <v/>
      </c>
      <c r="H25" s="24">
        <f>IF($C25="","",IF(F25&gt;400,0,400-F25))</f>
        <v/>
      </c>
      <c r="I25" s="34">
        <f>IF($C25="","",H25/(E25-F25))</f>
        <v/>
      </c>
      <c r="J25" s="24" t="n"/>
      <c r="K25" s="24" t="n"/>
    </row>
    <row r="26" ht="15" customHeight="1" s="19">
      <c r="A26" s="24" t="n"/>
      <c r="B26" s="24" t="n"/>
      <c r="C26" s="24" t="n"/>
      <c r="D26" s="24" t="n"/>
      <c r="E26" s="24">
        <f>IF($C26="","",C26/$E$1)</f>
        <v/>
      </c>
      <c r="F26" s="24">
        <f>IF($C26="","",D26/$E$1)</f>
        <v/>
      </c>
      <c r="G26" s="34">
        <f>IF($C26="","",400/F26)</f>
        <v/>
      </c>
      <c r="H26" s="24">
        <f>IF($C26="","",IF(F26&gt;400,0,400-F26))</f>
        <v/>
      </c>
      <c r="I26" s="34">
        <f>IF($C26="","",H26/(E26-F26))</f>
        <v/>
      </c>
      <c r="J26" s="24" t="n"/>
      <c r="K26" s="24" t="n"/>
    </row>
    <row r="27" ht="15" customHeight="1" s="19">
      <c r="A27" s="24" t="n"/>
      <c r="B27" s="24" t="n"/>
      <c r="C27" s="24" t="n"/>
      <c r="D27" s="24" t="n"/>
      <c r="E27" s="24">
        <f>IF($C27="","",C27/$E$1)</f>
        <v/>
      </c>
      <c r="F27" s="24">
        <f>IF($C27="","",D27/$E$1)</f>
        <v/>
      </c>
      <c r="G27" s="34">
        <f>IF($C27="","",400/F27)</f>
        <v/>
      </c>
      <c r="H27" s="24">
        <f>IF($C27="","",IF(F27&gt;400,0,400-F27))</f>
        <v/>
      </c>
      <c r="I27" s="34">
        <f>IF($C27="","",H27/(E27-F27))</f>
        <v/>
      </c>
      <c r="J27" s="24" t="n"/>
      <c r="K27" s="24" t="n"/>
    </row>
    <row r="28" ht="15" customHeight="1" s="19">
      <c r="A28" s="24" t="n"/>
      <c r="B28" s="24" t="n"/>
      <c r="C28" s="24" t="n"/>
      <c r="D28" s="24" t="n"/>
      <c r="E28" s="24">
        <f>IF($C28="","",C28/$E$1)</f>
        <v/>
      </c>
      <c r="F28" s="24">
        <f>IF($C28="","",D28/$E$1)</f>
        <v/>
      </c>
      <c r="G28" s="34">
        <f>IF($C28="","",400/F28)</f>
        <v/>
      </c>
      <c r="H28" s="24">
        <f>IF($C28="","",IF(F28&gt;400,0,400-F28))</f>
        <v/>
      </c>
      <c r="I28" s="34">
        <f>IF($C28="","",H28/(E28-F28))</f>
        <v/>
      </c>
      <c r="J28" s="24" t="n"/>
      <c r="K28" s="24" t="n"/>
    </row>
    <row r="29" ht="15" customHeight="1" s="19">
      <c r="A29" s="24" t="n"/>
      <c r="B29" s="24" t="n"/>
      <c r="C29" s="24" t="n"/>
      <c r="D29" s="24" t="n"/>
      <c r="E29" s="24">
        <f>IF($C29="","",C29/$E$1)</f>
        <v/>
      </c>
      <c r="F29" s="24">
        <f>IF($C29="","",D29/$E$1)</f>
        <v/>
      </c>
      <c r="G29" s="34">
        <f>IF($C29="","",400/F29)</f>
        <v/>
      </c>
      <c r="H29" s="24">
        <f>IF($C29="","",IF(F29&gt;400,0,400-F29))</f>
        <v/>
      </c>
      <c r="I29" s="34">
        <f>IF($C29="","",H29/(E29-F29))</f>
        <v/>
      </c>
      <c r="J29" s="24" t="n"/>
      <c r="K29" s="24" t="n"/>
    </row>
    <row r="30" ht="15" customHeight="1" s="19">
      <c r="A30" s="24" t="n"/>
      <c r="B30" s="24" t="n"/>
      <c r="C30" s="24" t="n"/>
      <c r="D30" s="24" t="n"/>
      <c r="E30" s="24">
        <f>IF($C30="","",C30/$E$1)</f>
        <v/>
      </c>
      <c r="F30" s="24">
        <f>IF($C30="","",D30/$E$1)</f>
        <v/>
      </c>
      <c r="G30" s="34">
        <f>IF($C30="","",400/F30)</f>
        <v/>
      </c>
      <c r="H30" s="24">
        <f>IF($C30="","",IF(F30&gt;400,0,400-F30))</f>
        <v/>
      </c>
      <c r="I30" s="34">
        <f>IF($C30="","",H30/(E30-F30))</f>
        <v/>
      </c>
      <c r="J30" s="24" t="n"/>
      <c r="K30" s="24" t="n"/>
    </row>
    <row r="31" ht="15" customHeight="1" s="19">
      <c r="A31" s="24" t="n"/>
      <c r="B31" s="24" t="n"/>
      <c r="C31" s="24" t="n"/>
      <c r="D31" s="24" t="n"/>
      <c r="E31" s="24">
        <f>IF($C31="","",C31/$E$1)</f>
        <v/>
      </c>
      <c r="F31" s="24">
        <f>IF($C31="","",D31/$E$1)</f>
        <v/>
      </c>
      <c r="G31" s="34">
        <f>IF($C31="","",400/F31)</f>
        <v/>
      </c>
      <c r="H31" s="24">
        <f>IF($C31="","",IF(F31&gt;400,0,400-F31))</f>
        <v/>
      </c>
      <c r="I31" s="34">
        <f>IF($C31="","",H31/(E31-F31))</f>
        <v/>
      </c>
      <c r="J31" s="24" t="n"/>
      <c r="K31" s="24" t="n"/>
    </row>
    <row r="32" ht="15" customHeight="1" s="19">
      <c r="A32" s="24" t="n"/>
      <c r="B32" s="24" t="n"/>
      <c r="C32" s="24" t="n"/>
      <c r="D32" s="24" t="n"/>
      <c r="E32" s="24">
        <f>IF($C32="","",C32/$E$1)</f>
        <v/>
      </c>
      <c r="F32" s="24">
        <f>IF($C32="","",D32/$E$1)</f>
        <v/>
      </c>
      <c r="G32" s="34">
        <f>IF($C32="","",400/F32)</f>
        <v/>
      </c>
      <c r="H32" s="24">
        <f>IF($C32="","",IF(F32&gt;400,0,400-F32))</f>
        <v/>
      </c>
      <c r="I32" s="34">
        <f>IF($C32="","",H32/(E32-F32))</f>
        <v/>
      </c>
      <c r="J32" s="24" t="n"/>
      <c r="K32" s="24" t="n"/>
    </row>
    <row r="33" ht="15" customHeight="1" s="19">
      <c r="A33" s="24" t="n"/>
      <c r="B33" s="24" t="n"/>
      <c r="C33" s="24" t="n"/>
      <c r="D33" s="24" t="n"/>
      <c r="E33" s="24">
        <f>IF($C33="","",C33/$E$1)</f>
        <v/>
      </c>
      <c r="F33" s="24">
        <f>IF($C33="","",D33/$E$1)</f>
        <v/>
      </c>
      <c r="G33" s="34">
        <f>IF($C33="","",400/F33)</f>
        <v/>
      </c>
      <c r="H33" s="24">
        <f>IF($C33="","",IF(F33&gt;400,0,400-F33))</f>
        <v/>
      </c>
      <c r="I33" s="34">
        <f>IF($C33="","",H33/(E33-F33))</f>
        <v/>
      </c>
      <c r="J33" s="24" t="n"/>
      <c r="K33" s="24" t="n"/>
    </row>
    <row r="34" ht="15" customHeight="1" s="19">
      <c r="A34" s="24" t="n"/>
      <c r="B34" s="24" t="n"/>
      <c r="C34" s="24" t="n"/>
      <c r="D34" s="24" t="n"/>
      <c r="E34" s="24">
        <f>IF($C34="","",C34/$E$1)</f>
        <v/>
      </c>
      <c r="F34" s="24">
        <f>IF($C34="","",D34/$E$1)</f>
        <v/>
      </c>
      <c r="G34" s="34">
        <f>IF($C34="","",400/F34)</f>
        <v/>
      </c>
      <c r="H34" s="24">
        <f>IF($C34="","",IF(F34&gt;400,0,400-F34))</f>
        <v/>
      </c>
      <c r="I34" s="34">
        <f>IF($C34="","",H34/(E34-F34))</f>
        <v/>
      </c>
      <c r="J34" s="24" t="n"/>
      <c r="K34" s="24" t="n"/>
    </row>
    <row r="35" ht="15" customHeight="1" s="19">
      <c r="A35" s="24" t="n"/>
      <c r="B35" s="24" t="n"/>
      <c r="C35" s="24" t="n"/>
      <c r="D35" s="24" t="n"/>
      <c r="E35" s="24">
        <f>IF($C35="","",C35/$E$1)</f>
        <v/>
      </c>
      <c r="F35" s="24">
        <f>IF($C35="","",D35/$E$1)</f>
        <v/>
      </c>
      <c r="G35" s="34">
        <f>IF($C35="","",400/F35)</f>
        <v/>
      </c>
      <c r="H35" s="24">
        <f>IF($C35="","",IF(F35&gt;400,0,400-F35))</f>
        <v/>
      </c>
      <c r="I35" s="34">
        <f>IF($C35="","",H35/(E35-F35))</f>
        <v/>
      </c>
      <c r="J35" s="24" t="n"/>
      <c r="K35" s="24" t="n"/>
    </row>
    <row r="36" ht="15" customHeight="1" s="19">
      <c r="A36" s="24" t="n"/>
      <c r="B36" s="24" t="n"/>
      <c r="C36" s="24" t="n"/>
      <c r="D36" s="24" t="n"/>
      <c r="E36" s="24">
        <f>IF($C36="","",C36/$E$1)</f>
        <v/>
      </c>
      <c r="F36" s="24">
        <f>IF($C36="","",D36/$E$1)</f>
        <v/>
      </c>
      <c r="G36" s="34">
        <f>IF($C36="","",400/F36)</f>
        <v/>
      </c>
      <c r="H36" s="24">
        <f>IF($C36="","",IF(F36&gt;400,0,400-F36))</f>
        <v/>
      </c>
      <c r="I36" s="34">
        <f>IF($C36="","",H36/(E36-F36))</f>
        <v/>
      </c>
      <c r="J36" s="24" t="n"/>
      <c r="K36" s="24" t="n"/>
    </row>
    <row r="37" ht="15" customHeight="1" s="19">
      <c r="A37" s="24" t="n"/>
      <c r="B37" s="24" t="n"/>
      <c r="C37" s="24" t="n"/>
      <c r="D37" s="24" t="n"/>
      <c r="E37" s="24">
        <f>IF($C37="","",C37/$E$1)</f>
        <v/>
      </c>
      <c r="F37" s="24">
        <f>IF($C37="","",D37/$E$1)</f>
        <v/>
      </c>
      <c r="G37" s="34">
        <f>IF($C37="","",400/F37)</f>
        <v/>
      </c>
      <c r="H37" s="24">
        <f>IF($C37="","",IF(F37&gt;400,0,400-F37))</f>
        <v/>
      </c>
      <c r="I37" s="34">
        <f>IF($C37="","",H37/(E37-F37))</f>
        <v/>
      </c>
      <c r="J37" s="24" t="n"/>
      <c r="K37" s="24" t="n"/>
    </row>
    <row r="38" ht="15" customHeight="1" s="19">
      <c r="A38" s="24" t="n"/>
      <c r="B38" s="24" t="n"/>
      <c r="C38" s="24" t="n"/>
      <c r="D38" s="24" t="n"/>
      <c r="E38" s="24">
        <f>IF($C38="","",C38/$E$1)</f>
        <v/>
      </c>
      <c r="F38" s="24">
        <f>IF($C38="","",D38/$E$1)</f>
        <v/>
      </c>
      <c r="G38" s="34">
        <f>IF($C38="","",400/F38)</f>
        <v/>
      </c>
      <c r="H38" s="24">
        <f>IF($C38="","",IF(F38&gt;400,0,400-F38))</f>
        <v/>
      </c>
      <c r="I38" s="34">
        <f>IF($C38="","",H38/(E38-F38))</f>
        <v/>
      </c>
      <c r="J38" s="24" t="n"/>
      <c r="K38" s="24" t="n"/>
    </row>
    <row r="39" ht="15" customHeight="1" s="19">
      <c r="A39" s="24" t="n"/>
      <c r="B39" s="24" t="n"/>
      <c r="C39" s="24" t="n"/>
      <c r="D39" s="24" t="n"/>
      <c r="E39" s="24">
        <f>IF($C39="","",C39/$E$1)</f>
        <v/>
      </c>
      <c r="F39" s="24">
        <f>IF($C39="","",D39/$E$1)</f>
        <v/>
      </c>
      <c r="G39" s="34">
        <f>IF($C39="","",400/F39)</f>
        <v/>
      </c>
      <c r="H39" s="24">
        <f>IF($C39="","",IF(F39&gt;400,0,400-F39))</f>
        <v/>
      </c>
      <c r="I39" s="34">
        <f>IF($C39="","",H39/(E39-F39))</f>
        <v/>
      </c>
      <c r="J39" s="24" t="n"/>
      <c r="K39" s="24" t="n"/>
    </row>
    <row r="40" ht="15" customHeight="1" s="19">
      <c r="A40" s="24" t="n"/>
      <c r="B40" s="24" t="n"/>
      <c r="C40" s="24" t="n"/>
      <c r="D40" s="24" t="n"/>
      <c r="E40" s="24">
        <f>IF($C40="","",C40/$E$1)</f>
        <v/>
      </c>
      <c r="F40" s="24">
        <f>IF($C40="","",D40/$E$1)</f>
        <v/>
      </c>
      <c r="G40" s="34">
        <f>IF($C40="","",400/F40)</f>
        <v/>
      </c>
      <c r="H40" s="24">
        <f>IF($C40="","",IF(F40&gt;400,0,400-F40))</f>
        <v/>
      </c>
      <c r="I40" s="34">
        <f>IF($C40="","",H40/(E40-F40))</f>
        <v/>
      </c>
      <c r="J40" s="24" t="n"/>
      <c r="K40" s="24" t="n"/>
    </row>
    <row r="41" ht="15" customHeight="1" s="19">
      <c r="A41" s="24" t="n"/>
      <c r="B41" s="24" t="n"/>
      <c r="C41" s="24" t="n"/>
      <c r="D41" s="24" t="n"/>
      <c r="E41" s="24">
        <f>IF($C41="","",C41/$E$1)</f>
        <v/>
      </c>
      <c r="F41" s="24">
        <f>IF($C41="","",D41/$E$1)</f>
        <v/>
      </c>
      <c r="G41" s="34">
        <f>IF($C41="","",400/F41)</f>
        <v/>
      </c>
      <c r="H41" s="24">
        <f>IF($C41="","",IF(F41&gt;400,0,400-F41))</f>
        <v/>
      </c>
      <c r="I41" s="34">
        <f>IF($C41="","",H41/(E41-F41))</f>
        <v/>
      </c>
      <c r="J41" s="24" t="n"/>
      <c r="K41" s="24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Z46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ySplit="1" topLeftCell="A2" activePane="bottomLeft" state="frozen"/>
      <selection pane="bottomLeft" activeCell="A1" activeCellId="0" sqref="A1"/>
      <selection pane="bottomLeft" activeCell="A1" activeCellId="0" sqref="A1"/>
    </sheetView>
  </sheetViews>
  <sheetFormatPr baseColWidth="8" defaultColWidth="8.5390625" defaultRowHeight="15" zeroHeight="0" outlineLevelRow="0"/>
  <cols>
    <col width="26" customWidth="1" style="18" min="3" max="3"/>
    <col width="22" customWidth="1" style="18" min="4" max="4"/>
    <col width="16" customWidth="1" style="18" min="5" max="5"/>
    <col width="14" customWidth="1" style="18" min="12" max="12"/>
    <col width="40" customWidth="1" style="18" min="18" max="18"/>
    <col width="34" customWidth="1" style="18" min="20" max="20"/>
  </cols>
  <sheetData>
    <row r="1" ht="15" customHeight="1" s="19">
      <c r="A1" s="35" t="inlineStr">
        <is>
          <t>募集年度</t>
        </is>
      </c>
      <c r="B1" s="35" t="inlineStr">
        <is>
          <t>No</t>
        </is>
      </c>
      <c r="C1" s="35" t="inlineStr">
        <is>
          <t>募集馬名</t>
        </is>
      </c>
      <c r="D1" s="35" t="inlineStr">
        <is>
          <t>登録名</t>
        </is>
      </c>
      <c r="E1" s="35" t="inlineStr">
        <is>
          <t>父</t>
        </is>
      </c>
      <c r="F1" s="35" t="inlineStr">
        <is>
          <t>性別</t>
        </is>
      </c>
      <c r="G1" s="35" t="inlineStr">
        <is>
          <t>生月</t>
        </is>
      </c>
      <c r="H1" s="35" t="inlineStr">
        <is>
          <t>母年齢</t>
        </is>
      </c>
      <c r="I1" s="35" t="inlineStr">
        <is>
          <t>産駒数</t>
        </is>
      </c>
      <c r="J1" s="35" t="inlineStr">
        <is>
          <t>募集総額(万)</t>
        </is>
      </c>
      <c r="K1" s="35" t="inlineStr">
        <is>
          <t>馬体重</t>
        </is>
      </c>
      <c r="L1" s="35" t="inlineStr">
        <is>
          <t>体高</t>
        </is>
      </c>
      <c r="M1" s="35" t="inlineStr">
        <is>
          <t>胸囲</t>
        </is>
      </c>
      <c r="N1" s="35" t="inlineStr">
        <is>
          <t>管囲</t>
        </is>
      </c>
      <c r="O1" s="35" t="inlineStr">
        <is>
          <t>口数</t>
        </is>
      </c>
      <c r="P1" s="35" t="inlineStr">
        <is>
          <t>予定厩舎</t>
        </is>
      </c>
      <c r="Q1" s="35" t="inlineStr">
        <is>
          <t>通算成績</t>
        </is>
      </c>
      <c r="R1" s="35" t="inlineStr">
        <is>
          <t>中央勝利</t>
        </is>
      </c>
      <c r="S1" s="35" t="inlineStr">
        <is>
          <t>地方勝利</t>
        </is>
      </c>
      <c r="T1" s="35" t="inlineStr">
        <is>
          <t>中央賞金(万)</t>
        </is>
      </c>
      <c r="U1" s="35" t="inlineStr">
        <is>
          <t>地方賞金(万)</t>
        </is>
      </c>
      <c r="V1" s="35" t="inlineStr">
        <is>
          <t>賞金/募集額</t>
        </is>
      </c>
      <c r="W1" s="35" t="inlineStr">
        <is>
          <t>重賞</t>
        </is>
      </c>
      <c r="X1" s="35" t="inlineStr">
        <is>
          <t>主な勝ち鞍</t>
        </is>
      </c>
      <c r="Y1" s="35" t="inlineStr">
        <is>
          <t>スコア</t>
        </is>
      </c>
      <c r="Z1" s="35" t="inlineStr">
        <is>
          <t>スコア内訳</t>
        </is>
      </c>
    </row>
    <row r="2" ht="15" customHeight="1" s="19">
      <c r="A2" s="31" t="n">
        <v>2020</v>
      </c>
      <c r="B2" s="31" t="n">
        <v>1</v>
      </c>
      <c r="C2" s="31" t="inlineStr">
        <is>
          <t>デックドアウトの19</t>
        </is>
      </c>
      <c r="D2" s="31" t="inlineStr">
        <is>
          <t>フォレスクライト (Volles Kleid)</t>
        </is>
      </c>
      <c r="E2" s="31" t="inlineStr">
        <is>
          <t>ディープインパクト</t>
        </is>
      </c>
      <c r="F2" s="31" t="inlineStr">
        <is>
          <t>牡</t>
        </is>
      </c>
      <c r="G2" s="31" t="n">
        <v>2</v>
      </c>
      <c r="H2" s="31" t="n">
        <v>6</v>
      </c>
      <c r="I2" s="31" t="n">
        <v>1</v>
      </c>
      <c r="J2" s="31" t="n">
        <v>8000</v>
      </c>
      <c r="K2" s="31" t="n">
        <v>431</v>
      </c>
      <c r="L2" s="31" t="n">
        <v>154</v>
      </c>
      <c r="M2" s="31" t="n">
        <v>177</v>
      </c>
      <c r="N2" s="31" t="n">
        <v>20</v>
      </c>
      <c r="O2" s="31" t="n">
        <v>400</v>
      </c>
      <c r="P2" s="31" t="inlineStr">
        <is>
          <t>萩原</t>
        </is>
      </c>
      <c r="Q2" s="31" t="inlineStr">
        <is>
          <t>3戦0勝</t>
        </is>
      </c>
      <c r="R2" s="31" t="n">
        <v>0</v>
      </c>
      <c r="S2" s="31" t="n">
        <v>0</v>
      </c>
      <c r="T2" s="31" t="n">
        <v>0</v>
      </c>
      <c r="U2" s="31" t="n">
        <v>0</v>
      </c>
      <c r="V2" s="31" t="n">
        <v>0</v>
      </c>
      <c r="W2" s="31" t="n">
        <v>0</v>
      </c>
      <c r="X2" s="31" t="inlineStr">
        <is>
          <t>--&gt;</t>
        </is>
      </c>
      <c r="Y2" s="31" t="n">
        <v>2</v>
      </c>
      <c r="Z2" s="31" t="inlineStr">
        <is>
          <t>牡・420kg+</t>
        </is>
      </c>
    </row>
    <row r="3" ht="15" customHeight="1" s="19">
      <c r="A3" s="31" t="n">
        <v>2020</v>
      </c>
      <c r="B3" s="31" t="n">
        <v>2</v>
      </c>
      <c r="C3" s="31" t="inlineStr">
        <is>
          <t>ヒルダズパッションの19</t>
        </is>
      </c>
      <c r="D3" s="31" t="inlineStr">
        <is>
          <t>フィアレスデザイア (Fearless Desire)</t>
        </is>
      </c>
      <c r="E3" s="31" t="inlineStr">
        <is>
          <t>ディープインパクト</t>
        </is>
      </c>
      <c r="F3" s="31" t="inlineStr">
        <is>
          <t>牡</t>
        </is>
      </c>
      <c r="G3" s="31" t="n">
        <v>2</v>
      </c>
      <c r="H3" s="31" t="n">
        <v>12</v>
      </c>
      <c r="I3" s="31" t="n">
        <v>7</v>
      </c>
      <c r="J3" s="31" t="n">
        <v>15000</v>
      </c>
      <c r="K3" s="31" t="n">
        <v>455</v>
      </c>
      <c r="L3" s="31" t="n">
        <v>157</v>
      </c>
      <c r="M3" s="31" t="n">
        <v>180</v>
      </c>
      <c r="N3" s="31" t="n">
        <v>20</v>
      </c>
      <c r="O3" s="31" t="n">
        <v>400</v>
      </c>
      <c r="P3" s="31" t="inlineStr">
        <is>
          <t>藤沢</t>
        </is>
      </c>
      <c r="Q3" s="31" t="inlineStr">
        <is>
          <t>6戦1勝</t>
        </is>
      </c>
      <c r="R3" s="31" t="n">
        <v>0</v>
      </c>
      <c r="S3" s="31" t="n">
        <v>1</v>
      </c>
      <c r="T3" s="31" t="n">
        <v>0</v>
      </c>
      <c r="U3" s="31" t="n">
        <v>55</v>
      </c>
      <c r="V3" s="31" t="n">
        <v>0</v>
      </c>
      <c r="W3" s="31" t="n">
        <v>0</v>
      </c>
      <c r="X3" s="31" t="inlineStr">
        <is>
          <t>C2九組--&gt;</t>
        </is>
      </c>
      <c r="Y3" s="31" t="n">
        <v>2</v>
      </c>
      <c r="Z3" s="31" t="inlineStr">
        <is>
          <t>牡・420kg+</t>
        </is>
      </c>
    </row>
    <row r="4" ht="15" customHeight="1" s="19">
      <c r="A4" s="31" t="n">
        <v>2020</v>
      </c>
      <c r="B4" s="31" t="n">
        <v>3</v>
      </c>
      <c r="C4" s="31" t="inlineStr">
        <is>
          <t>ティズトレメンダスの19</t>
        </is>
      </c>
      <c r="D4" s="31" t="inlineStr">
        <is>
          <t>ティズグロリアス (Tiz Glorious)</t>
        </is>
      </c>
      <c r="E4" s="31" t="inlineStr">
        <is>
          <t>ディープインパクト</t>
        </is>
      </c>
      <c r="F4" s="31" t="inlineStr">
        <is>
          <t>メス</t>
        </is>
      </c>
      <c r="G4" s="31" t="n">
        <v>5</v>
      </c>
      <c r="H4" s="31" t="n">
        <v>9</v>
      </c>
      <c r="I4" s="31" t="n">
        <v>2</v>
      </c>
      <c r="J4" s="31" t="n">
        <v>6400</v>
      </c>
      <c r="K4" s="31" t="n">
        <v>390</v>
      </c>
      <c r="L4" s="31" t="n">
        <v>150.5</v>
      </c>
      <c r="M4" s="31" t="n">
        <v>169</v>
      </c>
      <c r="N4" s="31" t="n">
        <v>19.7</v>
      </c>
      <c r="O4" s="31" t="n">
        <v>400</v>
      </c>
      <c r="P4" s="31" t="inlineStr">
        <is>
          <t>木村</t>
        </is>
      </c>
      <c r="Q4" s="31" t="inlineStr">
        <is>
          <t>10戦1勝</t>
        </is>
      </c>
      <c r="R4" s="31" t="n">
        <v>1</v>
      </c>
      <c r="S4" s="31" t="n">
        <v>0</v>
      </c>
      <c r="T4" s="31" t="n">
        <v>1201</v>
      </c>
      <c r="U4" s="31" t="n">
        <v>0</v>
      </c>
      <c r="V4" s="31" t="n">
        <v>0.19</v>
      </c>
      <c r="W4" s="31" t="n">
        <v>0</v>
      </c>
      <c r="X4" s="31" t="inlineStr">
        <is>
          <t>21'2歳新馬--&gt;</t>
        </is>
      </c>
      <c r="Y4" s="31" t="n">
        <v>0</v>
      </c>
      <c r="Z4" s="31" t="inlineStr"/>
    </row>
    <row r="5" ht="15" customHeight="1" s="19">
      <c r="A5" s="31" t="n">
        <v>2020</v>
      </c>
      <c r="B5" s="31" t="n">
        <v>4</v>
      </c>
      <c r="C5" s="31" t="inlineStr">
        <is>
          <t>ファイナルディシジョンの19</t>
        </is>
      </c>
      <c r="D5" s="31" t="inlineStr">
        <is>
          <t>ファイナルアンサー (Final Answer)</t>
        </is>
      </c>
      <c r="E5" s="31" t="inlineStr">
        <is>
          <t>ハーツクライ</t>
        </is>
      </c>
      <c r="F5" s="31" t="inlineStr">
        <is>
          <t>メス</t>
        </is>
      </c>
      <c r="G5" s="31" t="n">
        <v>5</v>
      </c>
      <c r="H5" s="31" t="n">
        <v>6</v>
      </c>
      <c r="I5" s="31" t="n">
        <v>2</v>
      </c>
      <c r="J5" s="31" t="n">
        <v>3000</v>
      </c>
      <c r="K5" s="31" t="n">
        <v>460</v>
      </c>
      <c r="L5" s="31" t="n">
        <v>158</v>
      </c>
      <c r="M5" s="31" t="n">
        <v>176</v>
      </c>
      <c r="N5" s="31" t="n">
        <v>19.7</v>
      </c>
      <c r="O5" s="31" t="n">
        <v>400</v>
      </c>
      <c r="P5" s="31" t="inlineStr">
        <is>
          <t>手塚</t>
        </is>
      </c>
      <c r="Q5" s="31" t="inlineStr">
        <is>
          <t>5戦0勝</t>
        </is>
      </c>
      <c r="R5" s="31" t="n">
        <v>0</v>
      </c>
      <c r="S5" s="31" t="n">
        <v>0</v>
      </c>
      <c r="T5" s="31" t="n">
        <v>0</v>
      </c>
      <c r="U5" s="31" t="n">
        <v>0</v>
      </c>
      <c r="V5" s="31" t="n">
        <v>0</v>
      </c>
      <c r="W5" s="31" t="n">
        <v>0</v>
      </c>
      <c r="X5" s="31" t="inlineStr">
        <is>
          <t>--&gt;</t>
        </is>
      </c>
      <c r="Y5" s="31" t="n">
        <v>2</v>
      </c>
      <c r="Z5" s="31" t="inlineStr">
        <is>
          <t>価格帯・420kg+</t>
        </is>
      </c>
    </row>
    <row r="6" ht="15" customHeight="1" s="19">
      <c r="A6" s="31" t="n">
        <v>2020</v>
      </c>
      <c r="B6" s="31" t="n">
        <v>5</v>
      </c>
      <c r="C6" s="31" t="inlineStr">
        <is>
          <t>サミターの19</t>
        </is>
      </c>
      <c r="D6" s="31" t="inlineStr">
        <is>
          <t>ディエルメス (Diermmes)</t>
        </is>
      </c>
      <c r="E6" s="31" t="inlineStr">
        <is>
          <t>ロードカナロア</t>
        </is>
      </c>
      <c r="F6" s="31" t="inlineStr">
        <is>
          <t>牡</t>
        </is>
      </c>
      <c r="G6" s="31" t="n">
        <v>1</v>
      </c>
      <c r="H6" s="31" t="n">
        <v>10</v>
      </c>
      <c r="I6" s="31" t="n">
        <v>5</v>
      </c>
      <c r="J6" s="31" t="n">
        <v>5000</v>
      </c>
      <c r="K6" s="31" t="n">
        <v>426</v>
      </c>
      <c r="L6" s="31" t="n">
        <v>150.5</v>
      </c>
      <c r="M6" s="31" t="n">
        <v>176.5</v>
      </c>
      <c r="N6" s="31" t="n">
        <v>20.1</v>
      </c>
      <c r="O6" s="31" t="n">
        <v>400</v>
      </c>
      <c r="P6" s="31" t="inlineStr">
        <is>
          <t>国枝</t>
        </is>
      </c>
      <c r="Q6" s="31" t="inlineStr">
        <is>
          <t>3戦0勝</t>
        </is>
      </c>
      <c r="R6" s="31" t="n">
        <v>0</v>
      </c>
      <c r="S6" s="31" t="n">
        <v>0</v>
      </c>
      <c r="T6" s="31" t="n">
        <v>0</v>
      </c>
      <c r="U6" s="31" t="n">
        <v>0</v>
      </c>
      <c r="V6" s="31" t="n">
        <v>0</v>
      </c>
      <c r="W6" s="31" t="n">
        <v>0</v>
      </c>
      <c r="X6" s="31" t="inlineStr">
        <is>
          <t>--&gt;</t>
        </is>
      </c>
      <c r="Y6" s="31" t="n">
        <v>2</v>
      </c>
      <c r="Z6" s="31" t="inlineStr">
        <is>
          <t>牡・420kg+</t>
        </is>
      </c>
    </row>
    <row r="7" ht="15" customHeight="1" s="19">
      <c r="A7" s="31" t="n">
        <v>2020</v>
      </c>
      <c r="B7" s="31" t="n">
        <v>6</v>
      </c>
      <c r="C7" s="31" t="inlineStr">
        <is>
          <t>ハープスターの19</t>
        </is>
      </c>
      <c r="D7" s="31" t="inlineStr">
        <is>
          <t>ライラスター (Lyra Star)</t>
        </is>
      </c>
      <c r="E7" s="31" t="inlineStr">
        <is>
          <t>ロードカナロア</t>
        </is>
      </c>
      <c r="F7" s="31" t="inlineStr">
        <is>
          <t>牡</t>
        </is>
      </c>
      <c r="G7" s="31" t="n">
        <v>4</v>
      </c>
      <c r="H7" s="31" t="n">
        <v>8</v>
      </c>
      <c r="I7" s="31" t="n">
        <v>2</v>
      </c>
      <c r="J7" s="31" t="n">
        <v>10000</v>
      </c>
      <c r="K7" s="31" t="n">
        <v>447</v>
      </c>
      <c r="L7" s="31" t="n">
        <v>154</v>
      </c>
      <c r="M7" s="31" t="n">
        <v>174</v>
      </c>
      <c r="N7" s="31" t="n">
        <v>21</v>
      </c>
      <c r="O7" s="31" t="n">
        <v>400</v>
      </c>
      <c r="P7" s="31" t="inlineStr">
        <is>
          <t>木村</t>
        </is>
      </c>
      <c r="Q7" s="31" t="inlineStr">
        <is>
          <t>24戦4勝</t>
        </is>
      </c>
      <c r="R7" s="31" t="n">
        <v>4</v>
      </c>
      <c r="S7" s="31" t="n">
        <v>0</v>
      </c>
      <c r="T7" s="31" t="n">
        <v>6016</v>
      </c>
      <c r="U7" s="31" t="n">
        <v>0</v>
      </c>
      <c r="V7" s="31" t="n">
        <v>0.6</v>
      </c>
      <c r="W7" s="31" t="n">
        <v>0</v>
      </c>
      <c r="X7" s="31" t="inlineStr">
        <is>
          <t>25'胎内川特別(2勝クラス)22'3歳以上1勝クラス--&gt;</t>
        </is>
      </c>
      <c r="Y7" s="31" t="n">
        <v>2</v>
      </c>
      <c r="Z7" s="31" t="inlineStr">
        <is>
          <t>牡・420kg+</t>
        </is>
      </c>
    </row>
    <row r="8" ht="15" customHeight="1" s="19">
      <c r="A8" s="31" t="n">
        <v>2020</v>
      </c>
      <c r="B8" s="31" t="n">
        <v>7</v>
      </c>
      <c r="C8" s="31" t="inlineStr">
        <is>
          <t>ルージュバックの19</t>
        </is>
      </c>
      <c r="D8" s="31" t="inlineStr">
        <is>
          <t>ブラーバック (Boulard Buck)</t>
        </is>
      </c>
      <c r="E8" s="31" t="inlineStr">
        <is>
          <t>ロードカナロア</t>
        </is>
      </c>
      <c r="F8" s="31" t="inlineStr">
        <is>
          <t>メス</t>
        </is>
      </c>
      <c r="G8" s="31" t="n">
        <v>3</v>
      </c>
      <c r="H8" s="31" t="n">
        <v>7</v>
      </c>
      <c r="I8" s="31" t="n">
        <v>1</v>
      </c>
      <c r="J8" s="31" t="n">
        <v>5000</v>
      </c>
      <c r="K8" s="31" t="n">
        <v>421</v>
      </c>
      <c r="L8" s="31" t="n">
        <v>155</v>
      </c>
      <c r="M8" s="31" t="n">
        <v>172</v>
      </c>
      <c r="N8" s="31" t="n">
        <v>19.8</v>
      </c>
      <c r="O8" s="31" t="n">
        <v>400</v>
      </c>
      <c r="P8" s="31" t="inlineStr">
        <is>
          <t>大竹</t>
        </is>
      </c>
      <c r="Q8" s="31" t="inlineStr">
        <is>
          <t>8戦1勝</t>
        </is>
      </c>
      <c r="R8" s="31" t="n">
        <v>0</v>
      </c>
      <c r="S8" s="31" t="n">
        <v>1</v>
      </c>
      <c r="T8" s="31" t="n">
        <v>370</v>
      </c>
      <c r="U8" s="31" t="n">
        <v>42</v>
      </c>
      <c r="V8" s="31" t="n">
        <v>0.08</v>
      </c>
      <c r="W8" s="31" t="n">
        <v>0</v>
      </c>
      <c r="X8" s="31" t="inlineStr">
        <is>
          <t>松ちゃん10周年記念--&gt;</t>
        </is>
      </c>
      <c r="Y8" s="31" t="n">
        <v>1</v>
      </c>
      <c r="Z8" s="31" t="inlineStr">
        <is>
          <t>420kg+</t>
        </is>
      </c>
    </row>
    <row r="9" ht="15" customHeight="1" s="19">
      <c r="A9" s="31" t="n">
        <v>2020</v>
      </c>
      <c r="B9" s="31" t="n">
        <v>8</v>
      </c>
      <c r="C9" s="31" t="inlineStr">
        <is>
          <t>シーズンズベストの19</t>
        </is>
      </c>
      <c r="D9" s="31" t="inlineStr">
        <is>
          <t>トリメストラーレ (Trimestrale)</t>
        </is>
      </c>
      <c r="E9" s="31" t="inlineStr">
        <is>
          <t>ロードカナロア</t>
        </is>
      </c>
      <c r="F9" s="31" t="inlineStr">
        <is>
          <t>メス</t>
        </is>
      </c>
      <c r="G9" s="31" t="n">
        <v>5</v>
      </c>
      <c r="H9" s="31" t="n">
        <v>12</v>
      </c>
      <c r="I9" s="31" t="n">
        <v>5</v>
      </c>
      <c r="J9" s="31" t="n">
        <v>3600</v>
      </c>
      <c r="K9" s="31" t="n">
        <v>398</v>
      </c>
      <c r="L9" s="31" t="n">
        <v>147.5</v>
      </c>
      <c r="M9" s="31" t="n">
        <v>168</v>
      </c>
      <c r="N9" s="31" t="n">
        <v>19</v>
      </c>
      <c r="O9" s="31" t="n">
        <v>400</v>
      </c>
      <c r="P9" s="31" t="inlineStr">
        <is>
          <t>萩原</t>
        </is>
      </c>
      <c r="Q9" s="31" t="inlineStr">
        <is>
          <t>0戦0勝</t>
        </is>
      </c>
      <c r="R9" s="31" t="n">
        <v>0</v>
      </c>
      <c r="S9" s="31" t="n">
        <v>0</v>
      </c>
      <c r="T9" s="31" t="n">
        <v>0</v>
      </c>
      <c r="U9" s="31" t="n">
        <v>0</v>
      </c>
      <c r="V9" s="31" t="n">
        <v>0</v>
      </c>
      <c r="W9" s="31" t="n">
        <v>0</v>
      </c>
      <c r="X9" s="31" t="inlineStr">
        <is>
          <t>--&gt;</t>
        </is>
      </c>
      <c r="Y9" s="31" t="n">
        <v>1</v>
      </c>
      <c r="Z9" s="31" t="inlineStr">
        <is>
          <t>価格帯</t>
        </is>
      </c>
    </row>
    <row r="10" ht="15" customHeight="1" s="19">
      <c r="A10" s="31" t="n">
        <v>2020</v>
      </c>
      <c r="B10" s="31" t="n">
        <v>9</v>
      </c>
      <c r="C10" s="31" t="inlineStr">
        <is>
          <t>ティロレスカの19</t>
        </is>
      </c>
      <c r="D10" s="31" t="inlineStr">
        <is>
          <t>サパーダ (Zapada)</t>
        </is>
      </c>
      <c r="E10" s="31" t="inlineStr">
        <is>
          <t>ドゥラメンテ</t>
        </is>
      </c>
      <c r="F10" s="31" t="inlineStr">
        <is>
          <t>牡</t>
        </is>
      </c>
      <c r="G10" s="31" t="n">
        <v>2</v>
      </c>
      <c r="H10" s="31" t="n">
        <v>8</v>
      </c>
      <c r="I10" s="31" t="n">
        <v>1</v>
      </c>
      <c r="J10" s="31" t="n">
        <v>4000</v>
      </c>
      <c r="K10" s="31" t="n">
        <v>449</v>
      </c>
      <c r="L10" s="31" t="n">
        <v>155</v>
      </c>
      <c r="M10" s="31" t="n">
        <v>173</v>
      </c>
      <c r="N10" s="31" t="n">
        <v>20</v>
      </c>
      <c r="O10" s="31" t="n">
        <v>400</v>
      </c>
      <c r="P10" s="31" t="inlineStr">
        <is>
          <t>木村</t>
        </is>
      </c>
      <c r="Q10" s="31" t="inlineStr">
        <is>
          <t>0戦0勝</t>
        </is>
      </c>
      <c r="R10" s="31" t="n">
        <v>0</v>
      </c>
      <c r="S10" s="31" t="n">
        <v>0</v>
      </c>
      <c r="T10" s="31" t="n">
        <v>0</v>
      </c>
      <c r="U10" s="31" t="n">
        <v>0</v>
      </c>
      <c r="V10" s="31" t="n">
        <v>0</v>
      </c>
      <c r="W10" s="31" t="n">
        <v>0</v>
      </c>
      <c r="X10" s="31" t="inlineStr">
        <is>
          <t>--&gt;</t>
        </is>
      </c>
      <c r="Y10" s="31" t="n">
        <v>2</v>
      </c>
      <c r="Z10" s="31" t="inlineStr">
        <is>
          <t>牡・420kg+</t>
        </is>
      </c>
    </row>
    <row r="11" ht="15" customHeight="1" s="19">
      <c r="A11" s="31" t="n">
        <v>2020</v>
      </c>
      <c r="B11" s="31" t="n">
        <v>10</v>
      </c>
      <c r="C11" s="31" t="inlineStr">
        <is>
          <t>ヒストリックスターの19</t>
        </is>
      </c>
      <c r="D11" s="31" t="inlineStr">
        <is>
          <t>ライリッズ (Lyrids)</t>
        </is>
      </c>
      <c r="E11" s="31" t="inlineStr">
        <is>
          <t>ドゥラメンテ</t>
        </is>
      </c>
      <c r="F11" s="31" t="inlineStr">
        <is>
          <t>牡</t>
        </is>
      </c>
      <c r="G11" s="31" t="n">
        <v>5</v>
      </c>
      <c r="H11" s="31" t="n">
        <v>14</v>
      </c>
      <c r="I11" s="31" t="n">
        <v>10</v>
      </c>
      <c r="J11" s="31" t="n">
        <v>4400</v>
      </c>
      <c r="K11" s="31" t="n">
        <v>413</v>
      </c>
      <c r="L11" s="31" t="n">
        <v>154</v>
      </c>
      <c r="M11" s="31" t="n">
        <v>173.5</v>
      </c>
      <c r="N11" s="31" t="n">
        <v>21</v>
      </c>
      <c r="O11" s="31" t="n">
        <v>400</v>
      </c>
      <c r="P11" s="31" t="inlineStr">
        <is>
          <t>宮田</t>
        </is>
      </c>
      <c r="Q11" s="31" t="inlineStr">
        <is>
          <t>13戦3勝</t>
        </is>
      </c>
      <c r="R11" s="31" t="n">
        <v>3</v>
      </c>
      <c r="S11" s="31" t="n">
        <v>0</v>
      </c>
      <c r="T11" s="31" t="n">
        <v>4417</v>
      </c>
      <c r="U11" s="31" t="n">
        <v>0</v>
      </c>
      <c r="V11" s="31" t="n">
        <v>1</v>
      </c>
      <c r="W11" s="31" t="n">
        <v>0</v>
      </c>
      <c r="X11" s="31" t="inlineStr">
        <is>
          <t>23'兵庫特別(2勝クラス)23'4歳以上1勝クラス--&gt;</t>
        </is>
      </c>
      <c r="Y11" s="31" t="n">
        <v>1</v>
      </c>
      <c r="Z11" s="31" t="inlineStr">
        <is>
          <t>牡</t>
        </is>
      </c>
    </row>
    <row r="12" ht="15" customHeight="1" s="19">
      <c r="A12" s="31" t="n">
        <v>2020</v>
      </c>
      <c r="B12" s="31" t="n">
        <v>11</v>
      </c>
      <c r="C12" s="31" t="inlineStr">
        <is>
          <t>ピュアブリーゼの19</t>
        </is>
      </c>
      <c r="D12" s="31" t="inlineStr">
        <is>
          <t>ヴィルトブリーゼ (Wild Brise)</t>
        </is>
      </c>
      <c r="E12" s="31" t="inlineStr">
        <is>
          <t>ドゥラメンテ</t>
        </is>
      </c>
      <c r="F12" s="31" t="inlineStr">
        <is>
          <t>メス</t>
        </is>
      </c>
      <c r="G12" s="31" t="n">
        <v>2</v>
      </c>
      <c r="H12" s="31" t="n">
        <v>11</v>
      </c>
      <c r="I12" s="31" t="n">
        <v>5</v>
      </c>
      <c r="J12" s="31" t="n">
        <v>2800</v>
      </c>
      <c r="K12" s="31" t="n">
        <v>459</v>
      </c>
      <c r="L12" s="31" t="n">
        <v>158</v>
      </c>
      <c r="M12" s="31" t="n">
        <v>178</v>
      </c>
      <c r="N12" s="31" t="n">
        <v>19.5</v>
      </c>
      <c r="O12" s="31" t="n">
        <v>400</v>
      </c>
      <c r="P12" s="31" t="inlineStr">
        <is>
          <t>古賀</t>
        </is>
      </c>
      <c r="Q12" s="31" t="inlineStr">
        <is>
          <t>18戦2勝</t>
        </is>
      </c>
      <c r="R12" s="31" t="n">
        <v>2</v>
      </c>
      <c r="S12" s="31" t="n">
        <v>0</v>
      </c>
      <c r="T12" s="31" t="n">
        <v>2990</v>
      </c>
      <c r="U12" s="31" t="n">
        <v>0</v>
      </c>
      <c r="V12" s="31" t="n">
        <v>1.07</v>
      </c>
      <c r="W12" s="31" t="n">
        <v>0</v>
      </c>
      <c r="X12" s="31" t="inlineStr">
        <is>
          <t>23'3歳以上1勝クラス22'3歳未勝利--&gt;</t>
        </is>
      </c>
      <c r="Y12" s="31" t="n">
        <v>2</v>
      </c>
      <c r="Z12" s="31" t="inlineStr">
        <is>
          <t>価格帯・420kg+</t>
        </is>
      </c>
    </row>
    <row r="13" ht="15" customHeight="1" s="19">
      <c r="A13" s="31" t="n">
        <v>2020</v>
      </c>
      <c r="B13" s="31" t="n">
        <v>12</v>
      </c>
      <c r="C13" s="31" t="inlineStr">
        <is>
          <t>シェルズレイの19</t>
        </is>
      </c>
      <c r="D13" s="31" t="inlineStr">
        <is>
          <t>レイフル (Lei Hulu)</t>
        </is>
      </c>
      <c r="E13" s="31" t="inlineStr">
        <is>
          <t>ドゥラメンテ</t>
        </is>
      </c>
      <c r="F13" s="31" t="inlineStr">
        <is>
          <t>メス</t>
        </is>
      </c>
      <c r="G13" s="31" t="n">
        <v>2</v>
      </c>
      <c r="H13" s="31" t="n">
        <v>16</v>
      </c>
      <c r="I13" s="31" t="n">
        <v>10</v>
      </c>
      <c r="J13" s="31" t="n">
        <v>3200</v>
      </c>
      <c r="K13" s="31" t="n">
        <v>438</v>
      </c>
      <c r="L13" s="31" t="n">
        <v>155.5</v>
      </c>
      <c r="M13" s="31" t="n">
        <v>174</v>
      </c>
      <c r="N13" s="31" t="n">
        <v>19.4</v>
      </c>
      <c r="O13" s="31" t="n">
        <v>400</v>
      </c>
      <c r="P13" s="31" t="inlineStr">
        <is>
          <t>木村</t>
        </is>
      </c>
      <c r="Q13" s="31" t="inlineStr">
        <is>
          <t>4戦0勝</t>
        </is>
      </c>
      <c r="R13" s="31" t="n">
        <v>0</v>
      </c>
      <c r="S13" s="31" t="n">
        <v>0</v>
      </c>
      <c r="T13" s="31" t="n">
        <v>258</v>
      </c>
      <c r="U13" s="31" t="n">
        <v>0</v>
      </c>
      <c r="V13" s="31" t="n">
        <v>0.08</v>
      </c>
      <c r="W13" s="31" t="n">
        <v>0</v>
      </c>
      <c r="X13" s="31" t="inlineStr">
        <is>
          <t>--&gt;</t>
        </is>
      </c>
      <c r="Y13" s="31" t="n">
        <v>2</v>
      </c>
      <c r="Z13" s="31" t="inlineStr">
        <is>
          <t>価格帯・420kg+</t>
        </is>
      </c>
    </row>
    <row r="14" ht="15" customHeight="1" s="19">
      <c r="A14" s="31" t="n">
        <v>2020</v>
      </c>
      <c r="B14" s="31" t="n">
        <v>13</v>
      </c>
      <c r="C14" s="31" t="inlineStr">
        <is>
          <t>ベルロワイヤルの19</t>
        </is>
      </c>
      <c r="D14" s="31" t="inlineStr">
        <is>
          <t>ベルロワイヤルの2019</t>
        </is>
      </c>
      <c r="E14" s="31" t="inlineStr">
        <is>
          <t>ドゥラメンテ</t>
        </is>
      </c>
      <c r="F14" s="31" t="inlineStr">
        <is>
          <t>メス</t>
        </is>
      </c>
      <c r="G14" s="31" t="n">
        <v>3</v>
      </c>
      <c r="H14" s="31" t="n">
        <v>11</v>
      </c>
      <c r="I14" s="31" t="n">
        <v>5</v>
      </c>
      <c r="J14" s="31" t="n">
        <v>2600</v>
      </c>
      <c r="K14" s="31" t="n">
        <v>411</v>
      </c>
      <c r="L14" s="31" t="n">
        <v>155.5</v>
      </c>
      <c r="M14" s="31" t="n">
        <v>176.5</v>
      </c>
      <c r="N14" s="31" t="n">
        <v>19.2</v>
      </c>
      <c r="O14" s="31" t="n">
        <v>400</v>
      </c>
      <c r="P14" s="31" t="inlineStr">
        <is>
          <t>中舘</t>
        </is>
      </c>
      <c r="Q14" s="31" t="inlineStr">
        <is>
          <t>0戦0勝</t>
        </is>
      </c>
      <c r="R14" s="31" t="n">
        <v>0</v>
      </c>
      <c r="S14" s="31" t="n">
        <v>0</v>
      </c>
      <c r="T14" s="31" t="n">
        <v>0</v>
      </c>
      <c r="U14" s="31" t="n">
        <v>0</v>
      </c>
      <c r="V14" s="31" t="n">
        <v>0</v>
      </c>
      <c r="W14" s="31" t="n">
        <v>0</v>
      </c>
      <c r="X14" s="31" t="inlineStr">
        <is>
          <t>--&gt;</t>
        </is>
      </c>
      <c r="Y14" s="31" t="n">
        <v>1</v>
      </c>
      <c r="Z14" s="31" t="inlineStr">
        <is>
          <t>価格帯</t>
        </is>
      </c>
    </row>
    <row r="15" ht="15" customHeight="1" s="19">
      <c r="A15" s="31" t="n">
        <v>2020</v>
      </c>
      <c r="B15" s="31" t="n">
        <v>14</v>
      </c>
      <c r="C15" s="31" t="inlineStr">
        <is>
          <t>ディアデラマドレの19</t>
        </is>
      </c>
      <c r="D15" s="31" t="inlineStr">
        <is>
          <t>レガラール (Regalar)</t>
        </is>
      </c>
      <c r="E15" s="31" t="inlineStr">
        <is>
          <t>モーリス</t>
        </is>
      </c>
      <c r="F15" s="31" t="inlineStr">
        <is>
          <t>牡</t>
        </is>
      </c>
      <c r="G15" s="31" t="n">
        <v>1</v>
      </c>
      <c r="H15" s="31" t="n">
        <v>9</v>
      </c>
      <c r="I15" s="31" t="n">
        <v>3</v>
      </c>
      <c r="J15" s="31" t="n">
        <v>5000</v>
      </c>
      <c r="K15" s="31" t="n">
        <v>464</v>
      </c>
      <c r="L15" s="31" t="n">
        <v>157</v>
      </c>
      <c r="M15" s="31" t="n">
        <v>182</v>
      </c>
      <c r="N15" s="31" t="n">
        <v>20</v>
      </c>
      <c r="O15" s="31" t="n">
        <v>400</v>
      </c>
      <c r="P15" s="31" t="inlineStr">
        <is>
          <t>武井</t>
        </is>
      </c>
      <c r="Q15" s="31" t="inlineStr">
        <is>
          <t>1戦1勝</t>
        </is>
      </c>
      <c r="R15" s="31" t="n">
        <v>1</v>
      </c>
      <c r="S15" s="31" t="n">
        <v>0</v>
      </c>
      <c r="T15" s="31" t="n">
        <v>520</v>
      </c>
      <c r="U15" s="31" t="n">
        <v>0</v>
      </c>
      <c r="V15" s="31" t="n">
        <v>0.1</v>
      </c>
      <c r="W15" s="31" t="n">
        <v>0</v>
      </c>
      <c r="X15" s="31" t="inlineStr">
        <is>
          <t>22'3歳未勝利--&gt;</t>
        </is>
      </c>
      <c r="Y15" s="31" t="n">
        <v>2</v>
      </c>
      <c r="Z15" s="31" t="inlineStr">
        <is>
          <t>牡・420kg+</t>
        </is>
      </c>
    </row>
    <row r="16" ht="15" customHeight="1" s="19">
      <c r="A16" s="31" t="n">
        <v>2020</v>
      </c>
      <c r="B16" s="31" t="n">
        <v>15</v>
      </c>
      <c r="C16" s="31" t="inlineStr">
        <is>
          <t>バウンスシャッセの19</t>
        </is>
      </c>
      <c r="D16" s="31" t="inlineStr">
        <is>
          <t>グランプレジール (Grand Plaisir)</t>
        </is>
      </c>
      <c r="E16" s="31" t="inlineStr">
        <is>
          <t>モーリス</t>
        </is>
      </c>
      <c r="F16" s="31" t="inlineStr">
        <is>
          <t>牡</t>
        </is>
      </c>
      <c r="G16" s="31" t="n">
        <v>3</v>
      </c>
      <c r="H16" s="31" t="n">
        <v>8</v>
      </c>
      <c r="I16" s="31" t="n">
        <v>2</v>
      </c>
      <c r="J16" s="31" t="n">
        <v>5000</v>
      </c>
      <c r="K16" s="31" t="n">
        <v>478</v>
      </c>
      <c r="L16" s="31" t="n">
        <v>154</v>
      </c>
      <c r="M16" s="31" t="n">
        <v>186</v>
      </c>
      <c r="N16" s="31" t="n">
        <v>20</v>
      </c>
      <c r="O16" s="31" t="n">
        <v>400</v>
      </c>
      <c r="P16" s="31" t="inlineStr">
        <is>
          <t>堀</t>
        </is>
      </c>
      <c r="Q16" s="31" t="inlineStr">
        <is>
          <t>16戦1勝</t>
        </is>
      </c>
      <c r="R16" s="31" t="n">
        <v>1</v>
      </c>
      <c r="S16" s="31" t="n">
        <v>0</v>
      </c>
      <c r="T16" s="31" t="n">
        <v>2493</v>
      </c>
      <c r="U16" s="31" t="n">
        <v>0</v>
      </c>
      <c r="V16" s="31" t="n">
        <v>0.5</v>
      </c>
      <c r="W16" s="31" t="n">
        <v>0</v>
      </c>
      <c r="X16" s="31" t="inlineStr">
        <is>
          <t>22'3歳未勝利--&gt;</t>
        </is>
      </c>
      <c r="Y16" s="31" t="n">
        <v>2</v>
      </c>
      <c r="Z16" s="31" t="inlineStr">
        <is>
          <t>牡・420kg+</t>
        </is>
      </c>
    </row>
    <row r="17" ht="15" customHeight="1" s="19">
      <c r="A17" s="31" t="n">
        <v>2020</v>
      </c>
      <c r="B17" s="31" t="n">
        <v>16</v>
      </c>
      <c r="C17" s="31" t="inlineStr">
        <is>
          <t>ヴィータアレグリアの19</t>
        </is>
      </c>
      <c r="D17" s="31" t="inlineStr">
        <is>
          <t>ピエナディヴィータ (Piena di Vita)</t>
        </is>
      </c>
      <c r="E17" s="31" t="inlineStr">
        <is>
          <t>モーリス</t>
        </is>
      </c>
      <c r="F17" s="31" t="inlineStr">
        <is>
          <t>メス</t>
        </is>
      </c>
      <c r="G17" s="31" t="n">
        <v>3</v>
      </c>
      <c r="H17" s="31" t="n">
        <v>8</v>
      </c>
      <c r="I17" s="31" t="n">
        <v>2</v>
      </c>
      <c r="J17" s="31" t="n">
        <v>2400</v>
      </c>
      <c r="K17" s="31" t="n">
        <v>482</v>
      </c>
      <c r="L17" s="31" t="n">
        <v>160</v>
      </c>
      <c r="M17" s="31" t="n">
        <v>184</v>
      </c>
      <c r="N17" s="31" t="n">
        <v>19.6</v>
      </c>
      <c r="O17" s="31" t="n">
        <v>400</v>
      </c>
      <c r="P17" s="31" t="inlineStr">
        <is>
          <t>高柳 瑞樹</t>
        </is>
      </c>
      <c r="Q17" s="31" t="inlineStr">
        <is>
          <t>2戦2勝</t>
        </is>
      </c>
      <c r="R17" s="31" t="n">
        <v>0</v>
      </c>
      <c r="S17" s="31" t="n">
        <v>2</v>
      </c>
      <c r="T17" s="31" t="n">
        <v>0</v>
      </c>
      <c r="U17" s="31" t="n">
        <v>70</v>
      </c>
      <c r="V17" s="31" t="n">
        <v>0.03</v>
      </c>
      <c r="W17" s="31" t="n">
        <v>0</v>
      </c>
      <c r="X17" s="31" t="inlineStr">
        <is>
          <t>3歳以上C4ー33歳以上C4ー4--&gt;</t>
        </is>
      </c>
      <c r="Y17" s="31" t="n">
        <v>1</v>
      </c>
      <c r="Z17" s="31" t="inlineStr">
        <is>
          <t>420kg+</t>
        </is>
      </c>
    </row>
    <row r="18" ht="15" customHeight="1" s="19">
      <c r="A18" s="31" t="n">
        <v>2020</v>
      </c>
      <c r="B18" s="31" t="n">
        <v>17</v>
      </c>
      <c r="C18" s="31" t="inlineStr">
        <is>
          <t>アンレールの19</t>
        </is>
      </c>
      <c r="D18" s="31" t="inlineStr">
        <is>
          <t>アンクロワ (En Croix)</t>
        </is>
      </c>
      <c r="E18" s="31" t="inlineStr">
        <is>
          <t>モーリス</t>
        </is>
      </c>
      <c r="F18" s="31" t="inlineStr">
        <is>
          <t>メス</t>
        </is>
      </c>
      <c r="G18" s="31" t="n">
        <v>3</v>
      </c>
      <c r="H18" s="31" t="n">
        <v>9</v>
      </c>
      <c r="I18" s="31" t="n">
        <v>3</v>
      </c>
      <c r="J18" s="31" t="n">
        <v>2000</v>
      </c>
      <c r="K18" s="31" t="n">
        <v>399</v>
      </c>
      <c r="L18" s="31" t="n">
        <v>155</v>
      </c>
      <c r="M18" s="31" t="n">
        <v>174</v>
      </c>
      <c r="N18" s="31" t="n">
        <v>20</v>
      </c>
      <c r="O18" s="31" t="n">
        <v>400</v>
      </c>
      <c r="P18" s="31" t="inlineStr">
        <is>
          <t>伊坂</t>
        </is>
      </c>
      <c r="Q18" s="31" t="inlineStr">
        <is>
          <t>14戦2勝</t>
        </is>
      </c>
      <c r="R18" s="31" t="n">
        <v>2</v>
      </c>
      <c r="S18" s="31" t="n">
        <v>0</v>
      </c>
      <c r="T18" s="31" t="n">
        <v>3324</v>
      </c>
      <c r="U18" s="31" t="n">
        <v>0</v>
      </c>
      <c r="V18" s="31" t="n">
        <v>1.66</v>
      </c>
      <c r="W18" s="31" t="n">
        <v>0</v>
      </c>
      <c r="X18" s="31" t="inlineStr">
        <is>
          <t>22'3歳以上1勝クラス21'2歳新馬--&gt;</t>
        </is>
      </c>
      <c r="Y18" s="31" t="n">
        <v>0</v>
      </c>
      <c r="Z18" s="31" t="inlineStr"/>
    </row>
    <row r="19" ht="15" customHeight="1" s="19">
      <c r="A19" s="31" t="n">
        <v>2020</v>
      </c>
      <c r="B19" s="31" t="n">
        <v>18</v>
      </c>
      <c r="C19" s="31" t="inlineStr">
        <is>
          <t>クレオールの19</t>
        </is>
      </c>
      <c r="D19" s="31" t="inlineStr">
        <is>
          <t>エスペラント (Esperanto)</t>
        </is>
      </c>
      <c r="E19" s="31" t="inlineStr">
        <is>
          <t>エピファネイア</t>
        </is>
      </c>
      <c r="F19" s="31" t="inlineStr">
        <is>
          <t>牡</t>
        </is>
      </c>
      <c r="G19" s="31" t="n">
        <v>1</v>
      </c>
      <c r="H19" s="31" t="n">
        <v>7</v>
      </c>
      <c r="I19" s="31" t="n">
        <v>1</v>
      </c>
      <c r="J19" s="31" t="n">
        <v>2000</v>
      </c>
      <c r="K19" s="31" t="n">
        <v>444</v>
      </c>
      <c r="L19" s="31" t="n">
        <v>151</v>
      </c>
      <c r="M19" s="31" t="n">
        <v>174</v>
      </c>
      <c r="N19" s="31" t="n">
        <v>20</v>
      </c>
      <c r="O19" s="31" t="n">
        <v>400</v>
      </c>
      <c r="P19" s="31" t="inlineStr">
        <is>
          <t>武藤</t>
        </is>
      </c>
      <c r="Q19" s="31" t="inlineStr">
        <is>
          <t>23戦1勝</t>
        </is>
      </c>
      <c r="R19" s="31" t="n">
        <v>1</v>
      </c>
      <c r="S19" s="31" t="n">
        <v>0</v>
      </c>
      <c r="T19" s="31" t="n">
        <v>1200</v>
      </c>
      <c r="U19" s="31" t="n">
        <v>65</v>
      </c>
      <c r="V19" s="31" t="n">
        <v>0.63</v>
      </c>
      <c r="W19" s="31" t="n">
        <v>0</v>
      </c>
      <c r="X19" s="31" t="inlineStr">
        <is>
          <t>22'3歳未勝利--&gt;</t>
        </is>
      </c>
      <c r="Y19" s="31" t="n">
        <v>2</v>
      </c>
      <c r="Z19" s="31" t="inlineStr">
        <is>
          <t>牡・420kg+</t>
        </is>
      </c>
    </row>
    <row r="20" ht="15" customHeight="1" s="19">
      <c r="A20" s="31" t="n">
        <v>2020</v>
      </c>
      <c r="B20" s="31" t="n">
        <v>19</v>
      </c>
      <c r="C20" s="31" t="inlineStr">
        <is>
          <t>オリエンタルポピーの19</t>
        </is>
      </c>
      <c r="D20" s="31" t="inlineStr">
        <is>
          <t>アイスランドポピー (Iceland Poppy)</t>
        </is>
      </c>
      <c r="E20" s="31" t="inlineStr">
        <is>
          <t>エピファネイア</t>
        </is>
      </c>
      <c r="F20" s="31" t="inlineStr">
        <is>
          <t>メス</t>
        </is>
      </c>
      <c r="G20" s="31" t="n">
        <v>4</v>
      </c>
      <c r="H20" s="31" t="n">
        <v>8</v>
      </c>
      <c r="I20" s="31" t="n">
        <v>3</v>
      </c>
      <c r="J20" s="31" t="n">
        <v>2000</v>
      </c>
      <c r="K20" s="31" t="n">
        <v>435</v>
      </c>
      <c r="L20" s="31" t="n">
        <v>156</v>
      </c>
      <c r="M20" s="31" t="n">
        <v>177</v>
      </c>
      <c r="N20" s="31" t="n">
        <v>19.5</v>
      </c>
      <c r="O20" s="31" t="n">
        <v>400</v>
      </c>
      <c r="P20" s="31" t="inlineStr">
        <is>
          <t>中川</t>
        </is>
      </c>
      <c r="Q20" s="31" t="inlineStr">
        <is>
          <t>12戦0勝</t>
        </is>
      </c>
      <c r="R20" s="31" t="n">
        <v>0</v>
      </c>
      <c r="S20" s="31" t="n">
        <v>0</v>
      </c>
      <c r="T20" s="31" t="n">
        <v>1234</v>
      </c>
      <c r="U20" s="31" t="n">
        <v>0</v>
      </c>
      <c r="V20" s="31" t="n">
        <v>0.62</v>
      </c>
      <c r="W20" s="31" t="n">
        <v>0</v>
      </c>
      <c r="X20" s="31" t="inlineStr">
        <is>
          <t>--&gt;</t>
        </is>
      </c>
      <c r="Y20" s="31" t="n">
        <v>1</v>
      </c>
      <c r="Z20" s="31" t="inlineStr">
        <is>
          <t>420kg+</t>
        </is>
      </c>
    </row>
    <row r="21" ht="15" customHeight="1" s="19">
      <c r="A21" s="31" t="n">
        <v>2020</v>
      </c>
      <c r="B21" s="31" t="n">
        <v>20</v>
      </c>
      <c r="C21" s="31" t="inlineStr">
        <is>
          <t>ブルーメンブラットの19</t>
        </is>
      </c>
      <c r="D21" s="31" t="inlineStr">
        <is>
          <t>フォラブリューテ (Voller Blute)</t>
        </is>
      </c>
      <c r="E21" s="31" t="inlineStr">
        <is>
          <t>エピファネイア</t>
        </is>
      </c>
      <c r="F21" s="31" t="inlineStr">
        <is>
          <t>メス</t>
        </is>
      </c>
      <c r="G21" s="31" t="n">
        <v>5</v>
      </c>
      <c r="H21" s="31" t="n">
        <v>16</v>
      </c>
      <c r="I21" s="31" t="n">
        <v>9</v>
      </c>
      <c r="J21" s="31" t="n">
        <v>3000</v>
      </c>
      <c r="K21" s="31" t="n">
        <v>431</v>
      </c>
      <c r="L21" s="31" t="n">
        <v>154.5</v>
      </c>
      <c r="M21" s="31" t="n">
        <v>176</v>
      </c>
      <c r="N21" s="31" t="n">
        <v>19.6</v>
      </c>
      <c r="O21" s="31" t="n">
        <v>400</v>
      </c>
      <c r="P21" s="31" t="inlineStr">
        <is>
          <t>宮田</t>
        </is>
      </c>
      <c r="Q21" s="31" t="inlineStr">
        <is>
          <t>14戦2勝</t>
        </is>
      </c>
      <c r="R21" s="31" t="n">
        <v>2</v>
      </c>
      <c r="S21" s="31" t="n">
        <v>0</v>
      </c>
      <c r="T21" s="31" t="n">
        <v>3011</v>
      </c>
      <c r="U21" s="31" t="n">
        <v>0</v>
      </c>
      <c r="V21" s="31" t="n">
        <v>1</v>
      </c>
      <c r="W21" s="31" t="n">
        <v>0</v>
      </c>
      <c r="X21" s="31" t="inlineStr">
        <is>
          <t>22'紅梅S(L)21'2歳新馬--&gt;</t>
        </is>
      </c>
      <c r="Y21" s="31" t="n">
        <v>2</v>
      </c>
      <c r="Z21" s="31" t="inlineStr">
        <is>
          <t>価格帯・420kg+</t>
        </is>
      </c>
    </row>
    <row r="22" ht="15" customHeight="1" s="19">
      <c r="A22" s="31" t="n">
        <v>2020</v>
      </c>
      <c r="B22" s="31" t="n">
        <v>21</v>
      </c>
      <c r="C22" s="31" t="inlineStr">
        <is>
          <t>ケイティーズハートの19</t>
        </is>
      </c>
      <c r="D22" s="31" t="inlineStr">
        <is>
          <t>ヴァンガーズハート (Vanguard's Heart)</t>
        </is>
      </c>
      <c r="E22" s="31" t="inlineStr">
        <is>
          <t>ハービンジャー</t>
        </is>
      </c>
      <c r="F22" s="31" t="inlineStr">
        <is>
          <t>牡</t>
        </is>
      </c>
      <c r="G22" s="31" t="n">
        <v>3</v>
      </c>
      <c r="H22" s="31" t="n">
        <v>10</v>
      </c>
      <c r="I22" s="31" t="n">
        <v>3</v>
      </c>
      <c r="J22" s="31" t="n">
        <v>3000</v>
      </c>
      <c r="K22" s="31" t="n">
        <v>455</v>
      </c>
      <c r="L22" s="31" t="n">
        <v>153</v>
      </c>
      <c r="M22" s="31" t="n">
        <v>174</v>
      </c>
      <c r="N22" s="31" t="n">
        <v>20.9</v>
      </c>
      <c r="O22" s="31" t="n">
        <v>400</v>
      </c>
      <c r="P22" s="31" t="inlineStr">
        <is>
          <t>鹿戸</t>
        </is>
      </c>
      <c r="Q22" s="31" t="inlineStr">
        <is>
          <t>22戦1勝</t>
        </is>
      </c>
      <c r="R22" s="31" t="n">
        <v>1</v>
      </c>
      <c r="S22" s="31" t="n">
        <v>0</v>
      </c>
      <c r="T22" s="31" t="n">
        <v>2620</v>
      </c>
      <c r="U22" s="31" t="n">
        <v>0</v>
      </c>
      <c r="V22" s="31" t="n">
        <v>0.87</v>
      </c>
      <c r="W22" s="31" t="n">
        <v>0</v>
      </c>
      <c r="X22" s="31" t="inlineStr">
        <is>
          <t>22'3歳未勝利--&gt;</t>
        </is>
      </c>
      <c r="Y22" s="31" t="n">
        <v>3</v>
      </c>
      <c r="Z22" s="31" t="inlineStr">
        <is>
          <t>牡・価格帯・420kg+</t>
        </is>
      </c>
    </row>
    <row r="23" ht="15" customHeight="1" s="19">
      <c r="A23" s="31" t="n">
        <v>2020</v>
      </c>
      <c r="B23" s="31" t="n">
        <v>22</v>
      </c>
      <c r="C23" s="31" t="inlineStr">
        <is>
          <t>クルミナルの19</t>
        </is>
      </c>
      <c r="D23" s="31" t="inlineStr">
        <is>
          <t>アライバル (Arrival)</t>
        </is>
      </c>
      <c r="E23" s="31" t="inlineStr">
        <is>
          <t>ハービンジャー</t>
        </is>
      </c>
      <c r="F23" s="31" t="inlineStr">
        <is>
          <t>牡</t>
        </is>
      </c>
      <c r="G23" s="31" t="n">
        <v>3</v>
      </c>
      <c r="H23" s="31" t="n">
        <v>7</v>
      </c>
      <c r="I23" s="31" t="n">
        <v>3</v>
      </c>
      <c r="J23" s="31" t="n">
        <v>5000</v>
      </c>
      <c r="K23" s="31" t="n">
        <v>458</v>
      </c>
      <c r="L23" s="31" t="n">
        <v>154.5</v>
      </c>
      <c r="M23" s="31" t="n">
        <v>174.5</v>
      </c>
      <c r="N23" s="31" t="n">
        <v>21.2</v>
      </c>
      <c r="O23" s="31" t="n">
        <v>400</v>
      </c>
      <c r="P23" s="31" t="inlineStr">
        <is>
          <t>栗田</t>
        </is>
      </c>
      <c r="Q23" s="31" t="inlineStr">
        <is>
          <t>7戦1勝</t>
        </is>
      </c>
      <c r="R23" s="31" t="n">
        <v>1</v>
      </c>
      <c r="S23" s="31" t="n">
        <v>0</v>
      </c>
      <c r="T23" s="31" t="n">
        <v>5149</v>
      </c>
      <c r="U23" s="31" t="n">
        <v>0</v>
      </c>
      <c r="V23" s="31" t="n">
        <v>1.03</v>
      </c>
      <c r="W23" s="31" t="n">
        <v>0</v>
      </c>
      <c r="X23" s="31" t="inlineStr">
        <is>
          <t>21'2歳新馬--&gt;</t>
        </is>
      </c>
      <c r="Y23" s="31" t="n">
        <v>2</v>
      </c>
      <c r="Z23" s="31" t="inlineStr">
        <is>
          <t>牡・420kg+</t>
        </is>
      </c>
    </row>
    <row r="24" ht="15" customHeight="1" s="19">
      <c r="A24" s="31" t="n">
        <v>2020</v>
      </c>
      <c r="B24" s="31" t="n">
        <v>23</v>
      </c>
      <c r="C24" s="31" t="inlineStr">
        <is>
          <t>エールデュレーヴの19</t>
        </is>
      </c>
      <c r="D24" s="31" t="inlineStr">
        <is>
          <t>スプレッドアウト (Spread Out)</t>
        </is>
      </c>
      <c r="E24" s="31" t="inlineStr">
        <is>
          <t>ハービンジャー</t>
        </is>
      </c>
      <c r="F24" s="31" t="inlineStr">
        <is>
          <t>牡</t>
        </is>
      </c>
      <c r="G24" s="31" t="n">
        <v>5</v>
      </c>
      <c r="H24" s="31" t="n">
        <v>6</v>
      </c>
      <c r="I24" s="31" t="n">
        <v>1</v>
      </c>
      <c r="J24" s="31" t="n">
        <v>3000</v>
      </c>
      <c r="K24" s="31" t="n">
        <v>424</v>
      </c>
      <c r="L24" s="31" t="n">
        <v>155</v>
      </c>
      <c r="M24" s="31" t="n">
        <v>180</v>
      </c>
      <c r="N24" s="31" t="n">
        <v>20.3</v>
      </c>
      <c r="O24" s="31" t="n">
        <v>400</v>
      </c>
      <c r="P24" s="31" t="inlineStr">
        <is>
          <t>田村</t>
        </is>
      </c>
      <c r="Q24" s="31" t="inlineStr">
        <is>
          <t>4戦0勝</t>
        </is>
      </c>
      <c r="R24" s="31" t="n">
        <v>0</v>
      </c>
      <c r="S24" s="31" t="n">
        <v>0</v>
      </c>
      <c r="T24" s="31" t="n">
        <v>78</v>
      </c>
      <c r="U24" s="31" t="n">
        <v>0</v>
      </c>
      <c r="V24" s="31" t="n">
        <v>0.03</v>
      </c>
      <c r="W24" s="31" t="n">
        <v>0</v>
      </c>
      <c r="X24" s="31" t="inlineStr">
        <is>
          <t>--&gt;</t>
        </is>
      </c>
      <c r="Y24" s="31" t="n">
        <v>3</v>
      </c>
      <c r="Z24" s="31" t="inlineStr">
        <is>
          <t>牡・価格帯・420kg+</t>
        </is>
      </c>
    </row>
    <row r="25" ht="15" customHeight="1" s="19">
      <c r="A25" s="31" t="n">
        <v>2020</v>
      </c>
      <c r="B25" s="31" t="n">
        <v>24</v>
      </c>
      <c r="C25" s="31" t="inlineStr">
        <is>
          <t>ヴェルジョワーズの19</t>
        </is>
      </c>
      <c r="D25" s="31" t="inlineStr">
        <is>
          <t>シュガービート (Sugar Beet)</t>
        </is>
      </c>
      <c r="E25" s="31" t="inlineStr">
        <is>
          <t>ルーラーシップ</t>
        </is>
      </c>
      <c r="F25" s="31" t="inlineStr">
        <is>
          <t>牡</t>
        </is>
      </c>
      <c r="G25" s="31" t="n">
        <v>4</v>
      </c>
      <c r="H25" s="31" t="n">
        <v>8</v>
      </c>
      <c r="I25" s="31" t="n">
        <v>2</v>
      </c>
      <c r="J25" s="31" t="n">
        <v>2600</v>
      </c>
      <c r="K25" s="31" t="n">
        <v>411</v>
      </c>
      <c r="L25" s="31" t="n">
        <v>152</v>
      </c>
      <c r="M25" s="31" t="n">
        <v>166</v>
      </c>
      <c r="N25" s="31" t="n">
        <v>19.9</v>
      </c>
      <c r="O25" s="31" t="n">
        <v>400</v>
      </c>
      <c r="P25" s="31" t="inlineStr">
        <is>
          <t>池上</t>
        </is>
      </c>
      <c r="Q25" s="31" t="inlineStr">
        <is>
          <t>19戦3勝</t>
        </is>
      </c>
      <c r="R25" s="31" t="n">
        <v>0</v>
      </c>
      <c r="S25" s="31" t="n">
        <v>3</v>
      </c>
      <c r="T25" s="31" t="n">
        <v>78</v>
      </c>
      <c r="U25" s="31" t="n">
        <v>124</v>
      </c>
      <c r="V25" s="31" t="n">
        <v>0.08</v>
      </c>
      <c r="W25" s="31" t="n">
        <v>0</v>
      </c>
      <c r="X25" s="31" t="inlineStr">
        <is>
          <t>名古屋モーニングフィーバー52C20組--&gt;</t>
        </is>
      </c>
      <c r="Y25" s="31" t="n">
        <v>2</v>
      </c>
      <c r="Z25" s="31" t="inlineStr">
        <is>
          <t>牡・価格帯</t>
        </is>
      </c>
    </row>
    <row r="26" ht="15" customHeight="1" s="19">
      <c r="A26" s="31" t="n">
        <v>2020</v>
      </c>
      <c r="B26" s="31" t="n">
        <v>25</v>
      </c>
      <c r="C26" s="31" t="inlineStr">
        <is>
          <t>スペルオンミーの19</t>
        </is>
      </c>
      <c r="D26" s="31" t="inlineStr">
        <is>
          <t>スマイルオンミー (Smile on Me)</t>
        </is>
      </c>
      <c r="E26" s="31" t="inlineStr">
        <is>
          <t>ルーラーシップ</t>
        </is>
      </c>
      <c r="F26" s="31" t="inlineStr">
        <is>
          <t>メス</t>
        </is>
      </c>
      <c r="G26" s="31" t="n">
        <v>1</v>
      </c>
      <c r="H26" s="31" t="n">
        <v>8</v>
      </c>
      <c r="I26" s="31" t="n">
        <v>2</v>
      </c>
      <c r="J26" s="31" t="n">
        <v>1800</v>
      </c>
      <c r="K26" s="31" t="n">
        <v>536</v>
      </c>
      <c r="L26" s="31" t="n">
        <v>162.5</v>
      </c>
      <c r="M26" s="31" t="n">
        <v>186</v>
      </c>
      <c r="N26" s="31" t="n">
        <v>21.1</v>
      </c>
      <c r="O26" s="31" t="n">
        <v>400</v>
      </c>
      <c r="P26" s="31" t="inlineStr">
        <is>
          <t>尾関</t>
        </is>
      </c>
      <c r="Q26" s="31" t="inlineStr">
        <is>
          <t>11戦2勝</t>
        </is>
      </c>
      <c r="R26" s="31" t="n">
        <v>2</v>
      </c>
      <c r="S26" s="31" t="n">
        <v>0</v>
      </c>
      <c r="T26" s="31" t="n">
        <v>2877</v>
      </c>
      <c r="U26" s="31" t="n">
        <v>0</v>
      </c>
      <c r="V26" s="31" t="n">
        <v>1.6</v>
      </c>
      <c r="W26" s="31" t="n">
        <v>0</v>
      </c>
      <c r="X26" s="31" t="inlineStr">
        <is>
          <t>22'3歳以上1勝クラス22'3歳未勝利--&gt;</t>
        </is>
      </c>
      <c r="Y26" s="31" t="n">
        <v>1</v>
      </c>
      <c r="Z26" s="31" t="inlineStr">
        <is>
          <t>420kg+</t>
        </is>
      </c>
    </row>
    <row r="27" ht="15" customHeight="1" s="19">
      <c r="A27" s="31" t="n">
        <v>2020</v>
      </c>
      <c r="B27" s="31" t="n">
        <v>26</v>
      </c>
      <c r="C27" s="31" t="inlineStr">
        <is>
          <t>アウェイクの19</t>
        </is>
      </c>
      <c r="D27" s="31" t="inlineStr">
        <is>
          <t>ウェイクアップ (Wake Up)</t>
        </is>
      </c>
      <c r="E27" s="31" t="inlineStr">
        <is>
          <t>ルーラーシップ</t>
        </is>
      </c>
      <c r="F27" s="31" t="inlineStr">
        <is>
          <t>メス</t>
        </is>
      </c>
      <c r="G27" s="31" t="n">
        <v>3</v>
      </c>
      <c r="H27" s="31" t="n">
        <v>6</v>
      </c>
      <c r="I27" s="31" t="n">
        <v>1</v>
      </c>
      <c r="J27" s="31" t="n">
        <v>1800</v>
      </c>
      <c r="K27" s="31" t="n">
        <v>436</v>
      </c>
      <c r="L27" s="31" t="n">
        <v>147</v>
      </c>
      <c r="M27" s="31" t="n">
        <v>173</v>
      </c>
      <c r="N27" s="31" t="n">
        <v>19.5</v>
      </c>
      <c r="O27" s="31" t="n">
        <v>400</v>
      </c>
      <c r="P27" s="31" t="inlineStr">
        <is>
          <t>宮田</t>
        </is>
      </c>
      <c r="Q27" s="31" t="inlineStr">
        <is>
          <t>2戦0勝</t>
        </is>
      </c>
      <c r="R27" s="31" t="n">
        <v>0</v>
      </c>
      <c r="S27" s="31" t="n">
        <v>0</v>
      </c>
      <c r="T27" s="31" t="n">
        <v>0</v>
      </c>
      <c r="U27" s="31" t="n">
        <v>0</v>
      </c>
      <c r="V27" s="31" t="n">
        <v>0</v>
      </c>
      <c r="W27" s="31" t="n">
        <v>0</v>
      </c>
      <c r="X27" s="31" t="inlineStr">
        <is>
          <t>--&gt;</t>
        </is>
      </c>
      <c r="Y27" s="31" t="n">
        <v>1</v>
      </c>
      <c r="Z27" s="31" t="inlineStr">
        <is>
          <t>420kg+</t>
        </is>
      </c>
    </row>
    <row r="28" ht="15" customHeight="1" s="19">
      <c r="A28" s="31" t="n">
        <v>2020</v>
      </c>
      <c r="B28" s="31" t="n">
        <v>27</v>
      </c>
      <c r="C28" s="31" t="inlineStr">
        <is>
          <t>アールブリュットの19</t>
        </is>
      </c>
      <c r="D28" s="31" t="inlineStr">
        <is>
          <t>パラレルヴィジョン (Parallel Vision)</t>
        </is>
      </c>
      <c r="E28" s="31" t="inlineStr">
        <is>
          <t>キズナ</t>
        </is>
      </c>
      <c r="F28" s="31" t="inlineStr">
        <is>
          <t>牡</t>
        </is>
      </c>
      <c r="G28" s="31" t="n">
        <v>2</v>
      </c>
      <c r="H28" s="31" t="n">
        <v>7</v>
      </c>
      <c r="I28" s="31" t="n">
        <v>1</v>
      </c>
      <c r="J28" s="31" t="n">
        <v>5000</v>
      </c>
      <c r="K28" s="31" t="n">
        <v>447</v>
      </c>
      <c r="L28" s="31" t="n">
        <v>156</v>
      </c>
      <c r="M28" s="31" t="n">
        <v>175</v>
      </c>
      <c r="N28" s="31" t="n">
        <v>21.1</v>
      </c>
      <c r="O28" s="31" t="n">
        <v>400</v>
      </c>
      <c r="P28" s="31" t="inlineStr">
        <is>
          <t>国枝</t>
        </is>
      </c>
      <c r="Q28" s="31" t="inlineStr">
        <is>
          <t>23戦6勝</t>
        </is>
      </c>
      <c r="R28" s="31" t="n">
        <v>6</v>
      </c>
      <c r="S28" s="31" t="n">
        <v>0</v>
      </c>
      <c r="T28" s="31" t="n">
        <v>13588</v>
      </c>
      <c r="U28" s="31" t="n">
        <v>310</v>
      </c>
      <c r="V28" s="31" t="n">
        <v>2.78</v>
      </c>
      <c r="W28" s="31" t="n">
        <v>1</v>
      </c>
      <c r="X28" s="31" t="inlineStr">
        <is>
          <t>24'ダービー卿チャレンジT(G3)24'ニューイヤーS(L)--&gt;</t>
        </is>
      </c>
      <c r="Y28" s="31" t="n">
        <v>2</v>
      </c>
      <c r="Z28" s="31" t="inlineStr">
        <is>
          <t>牡・420kg+</t>
        </is>
      </c>
    </row>
    <row r="29" ht="15" customHeight="1" s="19">
      <c r="A29" s="31" t="n">
        <v>2020</v>
      </c>
      <c r="B29" s="31" t="n">
        <v>28</v>
      </c>
      <c r="C29" s="31" t="inlineStr">
        <is>
          <t>ムーンライトダンスの19</t>
        </is>
      </c>
      <c r="D29" s="31" t="inlineStr">
        <is>
          <t>ルナマーレ (Lunar Mare)</t>
        </is>
      </c>
      <c r="E29" s="31" t="inlineStr">
        <is>
          <t>キタサンブラック</t>
        </is>
      </c>
      <c r="F29" s="31" t="inlineStr">
        <is>
          <t>メス</t>
        </is>
      </c>
      <c r="G29" s="31" t="n">
        <v>4</v>
      </c>
      <c r="H29" s="31" t="n">
        <v>17</v>
      </c>
      <c r="I29" s="31" t="n">
        <v>14</v>
      </c>
      <c r="J29" s="31" t="n">
        <v>2000</v>
      </c>
      <c r="K29" s="31" t="n">
        <v>446</v>
      </c>
      <c r="L29" s="31" t="n">
        <v>159</v>
      </c>
      <c r="M29" s="31" t="n">
        <v>181.5</v>
      </c>
      <c r="N29" s="31" t="n">
        <v>19.5</v>
      </c>
      <c r="O29" s="31" t="n">
        <v>400</v>
      </c>
      <c r="P29" s="31" t="inlineStr">
        <is>
          <t>久保田</t>
        </is>
      </c>
      <c r="Q29" s="31" t="inlineStr">
        <is>
          <t>0戦0勝</t>
        </is>
      </c>
      <c r="R29" s="31" t="n">
        <v>0</v>
      </c>
      <c r="S29" s="31" t="n">
        <v>0</v>
      </c>
      <c r="T29" s="31" t="n">
        <v>0</v>
      </c>
      <c r="U29" s="31" t="n">
        <v>0</v>
      </c>
      <c r="V29" s="31" t="n">
        <v>0</v>
      </c>
      <c r="W29" s="31" t="n">
        <v>0</v>
      </c>
      <c r="X29" s="31" t="inlineStr">
        <is>
          <t>--&gt;</t>
        </is>
      </c>
      <c r="Y29" s="31" t="n">
        <v>1</v>
      </c>
      <c r="Z29" s="31" t="inlineStr">
        <is>
          <t>420kg+</t>
        </is>
      </c>
    </row>
    <row r="30" ht="15" customHeight="1" s="19">
      <c r="A30" s="31" t="n">
        <v>2020</v>
      </c>
      <c r="B30" s="31" t="n">
        <v>29</v>
      </c>
      <c r="C30" s="31" t="inlineStr">
        <is>
          <t>サダムグランジュテの19</t>
        </is>
      </c>
      <c r="D30" s="31" t="inlineStr">
        <is>
          <t>グランパドゥシャ (Grand Pas de Chat)</t>
        </is>
      </c>
      <c r="E30" s="31" t="inlineStr">
        <is>
          <t>キンシャサノキセキ</t>
        </is>
      </c>
      <c r="F30" s="31" t="inlineStr">
        <is>
          <t>メス</t>
        </is>
      </c>
      <c r="G30" s="31" t="n">
        <v>1</v>
      </c>
      <c r="H30" s="31" t="n">
        <v>11</v>
      </c>
      <c r="I30" s="31" t="n">
        <v>5</v>
      </c>
      <c r="J30" s="31" t="n">
        <v>1600</v>
      </c>
      <c r="K30" s="31" t="n">
        <v>444</v>
      </c>
      <c r="L30" s="31" t="n">
        <v>154</v>
      </c>
      <c r="M30" s="31" t="n">
        <v>176</v>
      </c>
      <c r="N30" s="31" t="n">
        <v>19.4</v>
      </c>
      <c r="O30" s="31" t="n">
        <v>400</v>
      </c>
      <c r="P30" s="31" t="inlineStr">
        <is>
          <t>小西</t>
        </is>
      </c>
      <c r="Q30" s="31" t="inlineStr">
        <is>
          <t>10戦1勝</t>
        </is>
      </c>
      <c r="R30" s="31" t="n">
        <v>0</v>
      </c>
      <c r="S30" s="31" t="n">
        <v>1</v>
      </c>
      <c r="T30" s="31" t="n">
        <v>358</v>
      </c>
      <c r="U30" s="31" t="n">
        <v>148</v>
      </c>
      <c r="V30" s="31" t="n">
        <v>0.32</v>
      </c>
      <c r="W30" s="31" t="n">
        <v>0</v>
      </c>
      <c r="X30" s="31" t="inlineStr">
        <is>
          <t>C2二 三四--&gt;</t>
        </is>
      </c>
      <c r="Y30" s="31" t="n">
        <v>1</v>
      </c>
      <c r="Z30" s="31" t="inlineStr">
        <is>
          <t>420kg+</t>
        </is>
      </c>
    </row>
    <row r="31" ht="15" customHeight="1" s="19">
      <c r="A31" s="31" t="n">
        <v>2020</v>
      </c>
      <c r="B31" s="31" t="n">
        <v>30</v>
      </c>
      <c r="C31" s="31" t="inlineStr">
        <is>
          <t>カラベルラティーナの19</t>
        </is>
      </c>
      <c r="D31" s="31" t="inlineStr">
        <is>
          <t>トライセイル</t>
        </is>
      </c>
      <c r="E31" s="31" t="inlineStr">
        <is>
          <t>ディープブリランテ</t>
        </is>
      </c>
      <c r="F31" s="31" t="inlineStr">
        <is>
          <t>牡</t>
        </is>
      </c>
      <c r="G31" s="31" t="n">
        <v>2</v>
      </c>
      <c r="H31" s="31" t="n">
        <v>15</v>
      </c>
      <c r="I31" s="31" t="n">
        <v>8</v>
      </c>
      <c r="J31" s="31" t="n">
        <v>1800</v>
      </c>
      <c r="K31" s="31" t="n">
        <v>460</v>
      </c>
      <c r="L31" s="31" t="n">
        <v>156.5</v>
      </c>
      <c r="M31" s="31" t="n">
        <v>181.4</v>
      </c>
      <c r="N31" s="31" t="n">
        <v>22.8</v>
      </c>
      <c r="O31" s="31" t="n">
        <v>400</v>
      </c>
      <c r="P31" s="31" t="inlineStr">
        <is>
          <t>中舘</t>
        </is>
      </c>
      <c r="Q31" s="31" t="inlineStr">
        <is>
          <t>0戦0勝</t>
        </is>
      </c>
      <c r="R31" s="31" t="n">
        <v>0</v>
      </c>
      <c r="S31" s="31" t="n">
        <v>0</v>
      </c>
      <c r="T31" s="31" t="n">
        <v>0</v>
      </c>
      <c r="U31" s="31" t="n">
        <v>0</v>
      </c>
      <c r="V31" s="31" t="n">
        <v>0</v>
      </c>
      <c r="W31" s="31" t="n">
        <v>0</v>
      </c>
      <c r="X31" s="31" t="inlineStr">
        <is>
          <t>--&gt;</t>
        </is>
      </c>
      <c r="Y31" s="31" t="n">
        <v>2</v>
      </c>
      <c r="Z31" s="31" t="inlineStr">
        <is>
          <t>牡・420kg+</t>
        </is>
      </c>
    </row>
    <row r="32" ht="15" customHeight="1" s="19">
      <c r="A32" s="31" t="n">
        <v>2020</v>
      </c>
      <c r="B32" s="31" t="n">
        <v>31</v>
      </c>
      <c r="C32" s="31" t="inlineStr">
        <is>
          <t>ペルレンケッテの19</t>
        </is>
      </c>
      <c r="D32" s="31" t="inlineStr">
        <is>
          <t>グレアファンタス (Glare Fantas)</t>
        </is>
      </c>
      <c r="E32" s="31" t="inlineStr">
        <is>
          <t>ドレフォン</t>
        </is>
      </c>
      <c r="F32" s="31" t="inlineStr">
        <is>
          <t>牡</t>
        </is>
      </c>
      <c r="G32" s="31" t="n">
        <v>4</v>
      </c>
      <c r="H32" s="31" t="n">
        <v>11</v>
      </c>
      <c r="I32" s="31" t="n">
        <v>4</v>
      </c>
      <c r="J32" s="31" t="n">
        <v>3000</v>
      </c>
      <c r="K32" s="31" t="n">
        <v>449</v>
      </c>
      <c r="L32" s="31" t="n">
        <v>154</v>
      </c>
      <c r="M32" s="31" t="n">
        <v>176</v>
      </c>
      <c r="N32" s="31" t="n">
        <v>20.5</v>
      </c>
      <c r="O32" s="31" t="n">
        <v>400</v>
      </c>
      <c r="P32" s="31" t="inlineStr">
        <is>
          <t>高橋</t>
        </is>
      </c>
      <c r="Q32" s="31" t="inlineStr">
        <is>
          <t>10戦3勝</t>
        </is>
      </c>
      <c r="R32" s="31" t="n">
        <v>0</v>
      </c>
      <c r="S32" s="31" t="n">
        <v>3</v>
      </c>
      <c r="T32" s="31" t="n">
        <v>0</v>
      </c>
      <c r="U32" s="31" t="n">
        <v>148</v>
      </c>
      <c r="V32" s="31" t="n">
        <v>0.05</v>
      </c>
      <c r="W32" s="31" t="n">
        <v>0</v>
      </c>
      <c r="X32" s="31" t="inlineStr">
        <is>
          <t>C16組C8組--&gt;</t>
        </is>
      </c>
      <c r="Y32" s="31" t="n">
        <v>3</v>
      </c>
      <c r="Z32" s="31" t="inlineStr">
        <is>
          <t>牡・価格帯・420kg+</t>
        </is>
      </c>
    </row>
    <row r="33" ht="15" customHeight="1" s="19">
      <c r="A33" s="31" t="n">
        <v>2020</v>
      </c>
      <c r="B33" s="31" t="n">
        <v>32</v>
      </c>
      <c r="C33" s="31" t="inlineStr">
        <is>
          <t>リーチコンセンサスの19</t>
        </is>
      </c>
      <c r="D33" s="31" t="inlineStr">
        <is>
          <t>ジェネラルウィル (General Will)</t>
        </is>
      </c>
      <c r="E33" s="31" t="inlineStr">
        <is>
          <t>ドレフォン</t>
        </is>
      </c>
      <c r="F33" s="31" t="inlineStr">
        <is>
          <t>メス</t>
        </is>
      </c>
      <c r="G33" s="31" t="n">
        <v>4</v>
      </c>
      <c r="H33" s="31" t="n">
        <v>13</v>
      </c>
      <c r="I33" s="31" t="n">
        <v>5</v>
      </c>
      <c r="J33" s="31" t="n">
        <v>2000</v>
      </c>
      <c r="K33" s="31" t="n">
        <v>454</v>
      </c>
      <c r="L33" s="31" t="n">
        <v>156</v>
      </c>
      <c r="M33" s="31" t="n">
        <v>176</v>
      </c>
      <c r="N33" s="31" t="n">
        <v>19.8</v>
      </c>
      <c r="O33" s="31" t="n">
        <v>400</v>
      </c>
      <c r="P33" s="31" t="inlineStr">
        <is>
          <t>林</t>
        </is>
      </c>
      <c r="Q33" s="31" t="inlineStr">
        <is>
          <t>22戦2勝</t>
        </is>
      </c>
      <c r="R33" s="31" t="n">
        <v>0</v>
      </c>
      <c r="S33" s="31" t="n">
        <v>2</v>
      </c>
      <c r="T33" s="31" t="n">
        <v>485</v>
      </c>
      <c r="U33" s="31" t="n">
        <v>145</v>
      </c>
      <c r="V33" s="31" t="n">
        <v>0.32</v>
      </c>
      <c r="W33" s="31" t="n">
        <v>0</v>
      </c>
      <c r="X33" s="31" t="inlineStr">
        <is>
          <t>ポットマム特別イヌサフラン特別--&gt;</t>
        </is>
      </c>
      <c r="Y33" s="31" t="n">
        <v>1</v>
      </c>
      <c r="Z33" s="31" t="inlineStr">
        <is>
          <t>420kg+</t>
        </is>
      </c>
    </row>
    <row r="34" ht="15" customHeight="1" s="19">
      <c r="A34" s="31" t="n">
        <v>2020</v>
      </c>
      <c r="B34" s="31" t="n">
        <v>33</v>
      </c>
      <c r="C34" s="31" t="inlineStr">
        <is>
          <t>ティンバレスの19</t>
        </is>
      </c>
      <c r="D34" s="31" t="inlineStr">
        <is>
          <t>パーカッション (Percussion)</t>
        </is>
      </c>
      <c r="E34" s="31" t="inlineStr">
        <is>
          <t>イスラボニータ</t>
        </is>
      </c>
      <c r="F34" s="31" t="inlineStr">
        <is>
          <t>牡</t>
        </is>
      </c>
      <c r="G34" s="31" t="n">
        <v>1</v>
      </c>
      <c r="H34" s="31" t="n">
        <v>7</v>
      </c>
      <c r="I34" s="31" t="n">
        <v>1</v>
      </c>
      <c r="J34" s="31" t="n">
        <v>1800</v>
      </c>
      <c r="K34" s="31" t="n">
        <v>486</v>
      </c>
      <c r="L34" s="31" t="n">
        <v>157</v>
      </c>
      <c r="M34" s="31" t="n">
        <v>180</v>
      </c>
      <c r="N34" s="31" t="n">
        <v>21.2</v>
      </c>
      <c r="O34" s="31" t="n">
        <v>400</v>
      </c>
      <c r="P34" s="31" t="inlineStr">
        <is>
          <t>田中</t>
        </is>
      </c>
      <c r="Q34" s="31" t="inlineStr">
        <is>
          <t>15戦3勝</t>
        </is>
      </c>
      <c r="R34" s="31" t="n">
        <v>3</v>
      </c>
      <c r="S34" s="31" t="n">
        <v>0</v>
      </c>
      <c r="T34" s="31" t="n">
        <v>2554</v>
      </c>
      <c r="U34" s="31" t="n">
        <v>0</v>
      </c>
      <c r="V34" s="31" t="n">
        <v>1.42</v>
      </c>
      <c r="W34" s="31" t="n">
        <v>0</v>
      </c>
      <c r="X34" s="31" t="inlineStr">
        <is>
          <t>23'4歳以上1勝クラス24'障害4歳以上未勝利--&gt;</t>
        </is>
      </c>
      <c r="Y34" s="31" t="n">
        <v>2</v>
      </c>
      <c r="Z34" s="31" t="inlineStr">
        <is>
          <t>牡・420kg+</t>
        </is>
      </c>
    </row>
    <row r="35" ht="15" customHeight="1" s="19">
      <c r="A35" s="31" t="n">
        <v>2020</v>
      </c>
      <c r="B35" s="31" t="n">
        <v>34</v>
      </c>
      <c r="C35" s="31" t="inlineStr">
        <is>
          <t>エクストラペトルの19</t>
        </is>
      </c>
      <c r="D35" s="31" t="inlineStr">
        <is>
          <t>ロータスペトル (Lotus Petal)</t>
        </is>
      </c>
      <c r="E35" s="31" t="inlineStr">
        <is>
          <t>イスラボニータ</t>
        </is>
      </c>
      <c r="F35" s="31" t="inlineStr">
        <is>
          <t>牡</t>
        </is>
      </c>
      <c r="G35" s="31" t="n">
        <v>1</v>
      </c>
      <c r="H35" s="31" t="n">
        <v>7</v>
      </c>
      <c r="I35" s="31" t="n">
        <v>1</v>
      </c>
      <c r="J35" s="31" t="n">
        <v>1800</v>
      </c>
      <c r="K35" s="31" t="n">
        <v>462</v>
      </c>
      <c r="L35" s="31" t="n">
        <v>150.5</v>
      </c>
      <c r="M35" s="31" t="n">
        <v>176</v>
      </c>
      <c r="N35" s="31" t="n">
        <v>20.1</v>
      </c>
      <c r="O35" s="31" t="n">
        <v>400</v>
      </c>
      <c r="P35" s="31" t="inlineStr">
        <is>
          <t>加藤</t>
        </is>
      </c>
      <c r="Q35" s="31" t="inlineStr">
        <is>
          <t>12戦1勝</t>
        </is>
      </c>
      <c r="R35" s="31" t="n">
        <v>0</v>
      </c>
      <c r="S35" s="31" t="n">
        <v>1</v>
      </c>
      <c r="T35" s="31" t="n">
        <v>52</v>
      </c>
      <c r="U35" s="31" t="n">
        <v>155</v>
      </c>
      <c r="V35" s="31" t="n">
        <v>0.12</v>
      </c>
      <c r="W35" s="31" t="n">
        <v>0</v>
      </c>
      <c r="X35" s="31" t="inlineStr">
        <is>
          <t>3歳四 選抜馬イ--&gt;</t>
        </is>
      </c>
      <c r="Y35" s="31" t="n">
        <v>2</v>
      </c>
      <c r="Z35" s="31" t="inlineStr">
        <is>
          <t>牡・420kg+</t>
        </is>
      </c>
    </row>
    <row r="36" ht="15" customHeight="1" s="19">
      <c r="A36" s="31" t="n">
        <v>2020</v>
      </c>
      <c r="B36" s="31" t="n">
        <v>35</v>
      </c>
      <c r="C36" s="31" t="inlineStr">
        <is>
          <t>クルージンミジーの19</t>
        </is>
      </c>
      <c r="D36" s="31" t="inlineStr">
        <is>
          <t>オールフラッグ (All Flag)</t>
        </is>
      </c>
      <c r="E36" s="31" t="inlineStr">
        <is>
          <t>トゥザワールド</t>
        </is>
      </c>
      <c r="F36" s="31" t="inlineStr">
        <is>
          <t>牡</t>
        </is>
      </c>
      <c r="G36" s="31" t="n">
        <v>5</v>
      </c>
      <c r="H36" s="31" t="n">
        <v>10</v>
      </c>
      <c r="I36" s="31" t="n">
        <v>5</v>
      </c>
      <c r="J36" s="31" t="n">
        <v>1600</v>
      </c>
      <c r="K36" s="31" t="n">
        <v>439</v>
      </c>
      <c r="L36" s="31" t="n">
        <v>152</v>
      </c>
      <c r="M36" s="31" t="n">
        <v>174.5</v>
      </c>
      <c r="N36" s="31" t="n">
        <v>20.3</v>
      </c>
      <c r="O36" s="31" t="n">
        <v>400</v>
      </c>
      <c r="P36" s="31" t="inlineStr">
        <is>
          <t>奥村 武</t>
        </is>
      </c>
      <c r="Q36" s="31" t="inlineStr">
        <is>
          <t>27戦4勝</t>
        </is>
      </c>
      <c r="R36" s="31" t="n">
        <v>3</v>
      </c>
      <c r="S36" s="31" t="n">
        <v>1</v>
      </c>
      <c r="T36" s="31" t="n">
        <v>3190</v>
      </c>
      <c r="U36" s="31" t="n">
        <v>843</v>
      </c>
      <c r="V36" s="31" t="n">
        <v>2.52</v>
      </c>
      <c r="W36" s="31" t="n">
        <v>0</v>
      </c>
      <c r="X36" s="31" t="inlineStr">
        <is>
          <t>23'4歳以上2勝クラス22'3歳以上1勝クラス--&gt;</t>
        </is>
      </c>
      <c r="Y36" s="31" t="n">
        <v>2</v>
      </c>
      <c r="Z36" s="31" t="inlineStr">
        <is>
          <t>牡・420kg+</t>
        </is>
      </c>
    </row>
    <row r="37" ht="15" customHeight="1" s="19">
      <c r="A37" s="31" t="n">
        <v>2020</v>
      </c>
      <c r="B37" s="31" t="n">
        <v>36</v>
      </c>
      <c r="C37" s="31" t="inlineStr">
        <is>
          <t>ムスタパルタの19</t>
        </is>
      </c>
      <c r="D37" s="31" t="inlineStr">
        <is>
          <t>パルタージュ (Partage)</t>
        </is>
      </c>
      <c r="E37" s="31" t="inlineStr">
        <is>
          <t>トゥザワールド</t>
        </is>
      </c>
      <c r="F37" s="31" t="inlineStr">
        <is>
          <t>メス</t>
        </is>
      </c>
      <c r="G37" s="31" t="n">
        <v>3</v>
      </c>
      <c r="H37" s="31" t="n">
        <v>8</v>
      </c>
      <c r="I37" s="31" t="n">
        <v>4</v>
      </c>
      <c r="J37" s="31" t="n">
        <v>1200</v>
      </c>
      <c r="K37" s="31" t="n">
        <v>429</v>
      </c>
      <c r="L37" s="31" t="n">
        <v>155.5</v>
      </c>
      <c r="M37" s="31" t="n">
        <v>175.5</v>
      </c>
      <c r="N37" s="31" t="n">
        <v>18.5</v>
      </c>
      <c r="O37" s="31" t="n">
        <v>400</v>
      </c>
      <c r="P37" s="31" t="inlineStr">
        <is>
          <t>伊藤 大士</t>
        </is>
      </c>
      <c r="Q37" s="31" t="inlineStr">
        <is>
          <t>31戦5勝</t>
        </is>
      </c>
      <c r="R37" s="31" t="n">
        <v>0</v>
      </c>
      <c r="S37" s="31" t="n">
        <v>5</v>
      </c>
      <c r="T37" s="31" t="n">
        <v>0</v>
      </c>
      <c r="U37" s="31" t="n">
        <v>290</v>
      </c>
      <c r="V37" s="31" t="n">
        <v>0.24</v>
      </c>
      <c r="W37" s="31" t="n">
        <v>0</v>
      </c>
      <c r="X37" s="31" t="inlineStr">
        <is>
          <t>3歳C2二組C4組--&gt;</t>
        </is>
      </c>
      <c r="Y37" s="31" t="n">
        <v>1</v>
      </c>
      <c r="Z37" s="31" t="inlineStr">
        <is>
          <t>420kg+</t>
        </is>
      </c>
    </row>
    <row r="38" ht="15" customHeight="1" s="19">
      <c r="A38" s="31" t="n">
        <v>2020</v>
      </c>
      <c r="B38" s="31" t="n">
        <v>37</v>
      </c>
      <c r="C38" s="31" t="inlineStr">
        <is>
          <t>オーマイベイビーの19</t>
        </is>
      </c>
      <c r="D38" s="31" t="inlineStr">
        <is>
          <t>クレイドル (Cradle)</t>
        </is>
      </c>
      <c r="E38" s="31" t="inlineStr">
        <is>
          <t>クロフネ</t>
        </is>
      </c>
      <c r="F38" s="31" t="inlineStr">
        <is>
          <t>メス</t>
        </is>
      </c>
      <c r="G38" s="31" t="n">
        <v>2</v>
      </c>
      <c r="H38" s="31" t="n">
        <v>8</v>
      </c>
      <c r="I38" s="31" t="n">
        <v>3</v>
      </c>
      <c r="J38" s="31" t="n">
        <v>2000</v>
      </c>
      <c r="K38" s="31" t="n">
        <v>453</v>
      </c>
      <c r="L38" s="31" t="n">
        <v>156.5</v>
      </c>
      <c r="M38" s="31" t="n">
        <v>176</v>
      </c>
      <c r="N38" s="31" t="n">
        <v>19.3</v>
      </c>
      <c r="O38" s="31" t="n">
        <v>400</v>
      </c>
      <c r="P38" s="31" t="inlineStr">
        <is>
          <t>黒岩</t>
        </is>
      </c>
      <c r="Q38" s="31" t="inlineStr">
        <is>
          <t>3戦1勝</t>
        </is>
      </c>
      <c r="R38" s="31" t="n">
        <v>1</v>
      </c>
      <c r="S38" s="31" t="n">
        <v>0</v>
      </c>
      <c r="T38" s="31" t="n">
        <v>801</v>
      </c>
      <c r="U38" s="31" t="n">
        <v>0</v>
      </c>
      <c r="V38" s="31" t="n">
        <v>0.4</v>
      </c>
      <c r="W38" s="31" t="n">
        <v>0</v>
      </c>
      <c r="X38" s="31" t="inlineStr">
        <is>
          <t>21'2歳新馬--&gt;</t>
        </is>
      </c>
      <c r="Y38" s="31" t="n">
        <v>1</v>
      </c>
      <c r="Z38" s="31" t="inlineStr">
        <is>
          <t>420kg+</t>
        </is>
      </c>
    </row>
    <row r="39" ht="15" customHeight="1" s="19">
      <c r="A39" s="31" t="n">
        <v>2020</v>
      </c>
      <c r="B39" s="31" t="n">
        <v>38</v>
      </c>
      <c r="C39" s="31" t="inlineStr">
        <is>
          <t>フェルミオンの19</t>
        </is>
      </c>
      <c r="D39" s="31" t="inlineStr">
        <is>
          <t>ダイバリオン (Dibaryon)</t>
        </is>
      </c>
      <c r="E39" s="31" t="inlineStr">
        <is>
          <t>ジャスタウェイ</t>
        </is>
      </c>
      <c r="F39" s="31" t="inlineStr">
        <is>
          <t>牡</t>
        </is>
      </c>
      <c r="G39" s="31" t="n">
        <v>4</v>
      </c>
      <c r="H39" s="31" t="n">
        <v>13</v>
      </c>
      <c r="I39" s="31" t="n">
        <v>8</v>
      </c>
      <c r="J39" s="31" t="n">
        <v>2400</v>
      </c>
      <c r="K39" s="31" t="n">
        <v>410</v>
      </c>
      <c r="L39" s="31" t="n">
        <v>155</v>
      </c>
      <c r="M39" s="31" t="n">
        <v>168</v>
      </c>
      <c r="N39" s="31" t="n">
        <v>20</v>
      </c>
      <c r="O39" s="31" t="n">
        <v>400</v>
      </c>
      <c r="P39" s="31" t="inlineStr">
        <is>
          <t>池上</t>
        </is>
      </c>
      <c r="Q39" s="31" t="inlineStr">
        <is>
          <t>37戦3勝</t>
        </is>
      </c>
      <c r="R39" s="31" t="n">
        <v>3</v>
      </c>
      <c r="S39" s="31" t="n">
        <v>0</v>
      </c>
      <c r="T39" s="31" t="n">
        <v>5073</v>
      </c>
      <c r="U39" s="31" t="n">
        <v>427</v>
      </c>
      <c r="V39" s="31" t="n">
        <v>2.29</v>
      </c>
      <c r="W39" s="31" t="n">
        <v>0</v>
      </c>
      <c r="X39" s="31" t="inlineStr">
        <is>
          <t>24'初日の出賞(2勝クラス)23'3歳以上1勝クラス--&gt;</t>
        </is>
      </c>
      <c r="Y39" s="31" t="n">
        <v>1</v>
      </c>
      <c r="Z39" s="31" t="inlineStr">
        <is>
          <t>牡</t>
        </is>
      </c>
    </row>
    <row r="40" ht="15" customHeight="1" s="19">
      <c r="A40" s="31" t="n">
        <v>2020</v>
      </c>
      <c r="B40" s="31" t="n">
        <v>39</v>
      </c>
      <c r="C40" s="31" t="inlineStr">
        <is>
          <t>ロザリンドの19</t>
        </is>
      </c>
      <c r="D40" s="31" t="inlineStr">
        <is>
          <t>アルドゥエンナ (Arduenna)</t>
        </is>
      </c>
      <c r="E40" s="31" t="inlineStr">
        <is>
          <t>スクリーンヒーロー</t>
        </is>
      </c>
      <c r="F40" s="31" t="inlineStr">
        <is>
          <t>メス</t>
        </is>
      </c>
      <c r="G40" s="31" t="n">
        <v>2</v>
      </c>
      <c r="H40" s="31" t="n">
        <v>8</v>
      </c>
      <c r="I40" s="31" t="n">
        <v>3</v>
      </c>
      <c r="J40" s="31" t="n">
        <v>3000</v>
      </c>
      <c r="K40" s="31" t="n">
        <v>414</v>
      </c>
      <c r="L40" s="31" t="n">
        <v>152</v>
      </c>
      <c r="M40" s="31" t="n">
        <v>177</v>
      </c>
      <c r="N40" s="31" t="n">
        <v>19</v>
      </c>
      <c r="O40" s="31" t="n">
        <v>400</v>
      </c>
      <c r="P40" s="31" t="inlineStr">
        <is>
          <t>稲垣</t>
        </is>
      </c>
      <c r="Q40" s="31" t="inlineStr">
        <is>
          <t>4戦0勝</t>
        </is>
      </c>
      <c r="R40" s="31" t="n">
        <v>0</v>
      </c>
      <c r="S40" s="31" t="n">
        <v>0</v>
      </c>
      <c r="T40" s="31" t="n">
        <v>0</v>
      </c>
      <c r="U40" s="31" t="n">
        <v>0</v>
      </c>
      <c r="V40" s="31" t="n">
        <v>0</v>
      </c>
      <c r="W40" s="31" t="n">
        <v>0</v>
      </c>
      <c r="X40" s="31" t="inlineStr">
        <is>
          <t>--&gt;</t>
        </is>
      </c>
      <c r="Y40" s="31" t="n">
        <v>1</v>
      </c>
      <c r="Z40" s="31" t="inlineStr">
        <is>
          <t>価格帯</t>
        </is>
      </c>
    </row>
    <row r="41" ht="15" customHeight="1" s="19">
      <c r="A41" s="31" t="n">
        <v>2020</v>
      </c>
      <c r="B41" s="31" t="n">
        <v>40</v>
      </c>
      <c r="C41" s="31" t="inlineStr">
        <is>
          <t>ピンクアリエスの19</t>
        </is>
      </c>
      <c r="D41" s="31" t="inlineStr">
        <is>
          <t>ローゼシュティア (Rose Stier)</t>
        </is>
      </c>
      <c r="E41" s="31" t="inlineStr">
        <is>
          <t>トーセンラー</t>
        </is>
      </c>
      <c r="F41" s="31" t="inlineStr">
        <is>
          <t>メス</t>
        </is>
      </c>
      <c r="G41" s="31" t="n">
        <v>4</v>
      </c>
      <c r="H41" s="31" t="n">
        <v>12</v>
      </c>
      <c r="I41" s="31" t="n">
        <v>7</v>
      </c>
      <c r="J41" s="31" t="n">
        <v>1400</v>
      </c>
      <c r="K41" s="31" t="n">
        <v>413</v>
      </c>
      <c r="L41" s="31" t="n">
        <v>154.5</v>
      </c>
      <c r="M41" s="31" t="n">
        <v>173</v>
      </c>
      <c r="N41" s="31" t="n">
        <v>19.8</v>
      </c>
      <c r="O41" s="31" t="n">
        <v>400</v>
      </c>
      <c r="P41" s="31" t="inlineStr">
        <is>
          <t>菊沢</t>
        </is>
      </c>
      <c r="Q41" s="31" t="inlineStr">
        <is>
          <t>55戦1勝</t>
        </is>
      </c>
      <c r="R41" s="31" t="n">
        <v>0</v>
      </c>
      <c r="S41" s="31" t="n">
        <v>1</v>
      </c>
      <c r="T41" s="31" t="n">
        <v>502</v>
      </c>
      <c r="U41" s="31" t="n">
        <v>319</v>
      </c>
      <c r="V41" s="31" t="n">
        <v>0.59</v>
      </c>
      <c r="W41" s="31" t="n">
        <v>0</v>
      </c>
      <c r="X41" s="31" t="inlineStr">
        <is>
          <t>渚8歳誕生日おめでとう記念--&gt;</t>
        </is>
      </c>
      <c r="Y41" s="31" t="n">
        <v>0</v>
      </c>
      <c r="Z41" s="31" t="inlineStr"/>
    </row>
    <row r="42" ht="15" customHeight="1" s="19">
      <c r="A42" s="31" t="n">
        <v>2020</v>
      </c>
      <c r="B42" s="31" t="n">
        <v>41</v>
      </c>
      <c r="C42" s="31" t="inlineStr">
        <is>
          <t>グリューヴァインの19</t>
        </is>
      </c>
      <c r="D42" s="31" t="inlineStr">
        <is>
          <t>ミッテルライン (Mittelrhein)</t>
        </is>
      </c>
      <c r="E42" s="31" t="inlineStr">
        <is>
          <t>ヘニーヒューズ</t>
        </is>
      </c>
      <c r="F42" s="31" t="inlineStr">
        <is>
          <t>メス</t>
        </is>
      </c>
      <c r="G42" s="31" t="n">
        <v>3</v>
      </c>
      <c r="H42" s="31" t="n">
        <v>7</v>
      </c>
      <c r="I42" s="31" t="n">
        <v>1</v>
      </c>
      <c r="J42" s="31" t="n">
        <v>1600</v>
      </c>
      <c r="K42" s="31" t="n">
        <v>440</v>
      </c>
      <c r="L42" s="31" t="n">
        <v>154.5</v>
      </c>
      <c r="M42" s="31" t="n">
        <v>176.5</v>
      </c>
      <c r="N42" s="31" t="n">
        <v>19.4</v>
      </c>
      <c r="O42" s="31" t="n">
        <v>400</v>
      </c>
      <c r="P42" s="31" t="inlineStr">
        <is>
          <t>和田</t>
        </is>
      </c>
      <c r="Q42" s="31" t="inlineStr">
        <is>
          <t>46戦3勝</t>
        </is>
      </c>
      <c r="R42" s="31" t="n">
        <v>0</v>
      </c>
      <c r="S42" s="31" t="n">
        <v>3</v>
      </c>
      <c r="T42" s="31" t="n">
        <v>288</v>
      </c>
      <c r="U42" s="31" t="n">
        <v>348</v>
      </c>
      <c r="V42" s="31" t="n">
        <v>0.4</v>
      </c>
      <c r="W42" s="31" t="n">
        <v>0</v>
      </c>
      <c r="X42" s="31" t="inlineStr">
        <is>
          <t>C3二C1--&gt;</t>
        </is>
      </c>
      <c r="Y42" s="31" t="n">
        <v>1</v>
      </c>
      <c r="Z42" s="31" t="inlineStr">
        <is>
          <t>420kg+</t>
        </is>
      </c>
    </row>
    <row r="43" ht="15" customHeight="1" s="19">
      <c r="A43" s="31" t="n">
        <v>2020</v>
      </c>
      <c r="B43" s="31" t="n">
        <v>42</v>
      </c>
      <c r="C43" s="31" t="inlineStr">
        <is>
          <t>サザンスピードの19</t>
        </is>
      </c>
      <c r="D43" s="31" t="inlineStr">
        <is>
          <t>サザンクロス (Southern Cross)</t>
        </is>
      </c>
      <c r="E43" s="31" t="inlineStr">
        <is>
          <t>ミッキーアイル</t>
        </is>
      </c>
      <c r="F43" s="31" t="inlineStr">
        <is>
          <t>メス</t>
        </is>
      </c>
      <c r="G43" s="31" t="n">
        <v>2</v>
      </c>
      <c r="H43" s="31" t="n">
        <v>12</v>
      </c>
      <c r="I43" s="31" t="n">
        <v>4</v>
      </c>
      <c r="J43" s="31" t="n">
        <v>1600</v>
      </c>
      <c r="K43" s="31" t="n">
        <v>512</v>
      </c>
      <c r="L43" s="31" t="n">
        <v>166</v>
      </c>
      <c r="M43" s="31" t="n">
        <v>179</v>
      </c>
      <c r="N43" s="31" t="n">
        <v>19.5</v>
      </c>
      <c r="O43" s="31" t="n">
        <v>400</v>
      </c>
      <c r="P43" s="31" t="inlineStr">
        <is>
          <t>矢野</t>
        </is>
      </c>
      <c r="Q43" s="31" t="inlineStr">
        <is>
          <t>0戦0勝</t>
        </is>
      </c>
      <c r="R43" s="31" t="n">
        <v>0</v>
      </c>
      <c r="S43" s="31" t="n">
        <v>0</v>
      </c>
      <c r="T43" s="31" t="n">
        <v>0</v>
      </c>
      <c r="U43" s="31" t="n">
        <v>0</v>
      </c>
      <c r="V43" s="31" t="n">
        <v>0</v>
      </c>
      <c r="W43" s="31" t="n">
        <v>0</v>
      </c>
      <c r="X43" s="31" t="inlineStr">
        <is>
          <t>--&gt;</t>
        </is>
      </c>
      <c r="Y43" s="31" t="n">
        <v>1</v>
      </c>
      <c r="Z43" s="31" t="inlineStr">
        <is>
          <t>420kg+</t>
        </is>
      </c>
    </row>
    <row r="44" ht="15" customHeight="1" s="19">
      <c r="A44" s="31" t="n">
        <v>2020</v>
      </c>
      <c r="B44" s="31" t="n">
        <v>43</v>
      </c>
      <c r="C44" s="31" t="inlineStr">
        <is>
          <t>ソングバードの19</t>
        </is>
      </c>
      <c r="D44" s="31" t="inlineStr">
        <is>
          <t>ハミングバード (Humming Bird)</t>
        </is>
      </c>
      <c r="E44" s="31" t="inlineStr">
        <is>
          <t>リアルインパクト</t>
        </is>
      </c>
      <c r="F44" s="31" t="inlineStr">
        <is>
          <t>メス</t>
        </is>
      </c>
      <c r="G44" s="31" t="n">
        <v>5</v>
      </c>
      <c r="H44" s="31" t="n">
        <v>15</v>
      </c>
      <c r="I44" s="31" t="n">
        <v>10</v>
      </c>
      <c r="J44" s="31" t="n">
        <v>1400</v>
      </c>
      <c r="K44" s="31" t="n">
        <v>420</v>
      </c>
      <c r="L44" s="31" t="n">
        <v>153.5</v>
      </c>
      <c r="M44" s="31" t="n">
        <v>175</v>
      </c>
      <c r="N44" s="31" t="n">
        <v>20.5</v>
      </c>
      <c r="O44" s="31" t="n">
        <v>400</v>
      </c>
      <c r="P44" s="31" t="inlineStr">
        <is>
          <t>勢司</t>
        </is>
      </c>
      <c r="Q44" s="31" t="inlineStr">
        <is>
          <t>1戦0勝</t>
        </is>
      </c>
      <c r="R44" s="31" t="n">
        <v>0</v>
      </c>
      <c r="S44" s="31" t="n">
        <v>0</v>
      </c>
      <c r="T44" s="31" t="n">
        <v>0</v>
      </c>
      <c r="U44" s="31" t="n">
        <v>0</v>
      </c>
      <c r="V44" s="31" t="n">
        <v>0</v>
      </c>
      <c r="W44" s="31" t="n">
        <v>0</v>
      </c>
      <c r="X44" s="31" t="inlineStr">
        <is>
          <t>--&gt;</t>
        </is>
      </c>
      <c r="Y44" s="31" t="n">
        <v>1</v>
      </c>
      <c r="Z44" s="31" t="inlineStr">
        <is>
          <t>420kg+</t>
        </is>
      </c>
    </row>
    <row r="45" ht="15" customHeight="1" s="19">
      <c r="A45" s="31" t="n">
        <v>2020</v>
      </c>
      <c r="B45" s="31" t="n">
        <v>44</v>
      </c>
      <c r="C45" s="31" t="inlineStr">
        <is>
          <t>ロスヴァイセの19</t>
        </is>
      </c>
      <c r="D45" s="31" t="inlineStr">
        <is>
          <t>ヴァーンフリート (Wahnfried)</t>
        </is>
      </c>
      <c r="E45" s="31" t="inlineStr">
        <is>
          <t>リオンディーズ</t>
        </is>
      </c>
      <c r="F45" s="31" t="inlineStr">
        <is>
          <t>牡</t>
        </is>
      </c>
      <c r="G45" s="31" t="n">
        <v>2</v>
      </c>
      <c r="H45" s="31" t="n">
        <v>8</v>
      </c>
      <c r="I45" s="31" t="n">
        <v>2</v>
      </c>
      <c r="J45" s="31" t="n">
        <v>3000</v>
      </c>
      <c r="K45" s="31" t="n">
        <v>497</v>
      </c>
      <c r="L45" s="31" t="n">
        <v>157</v>
      </c>
      <c r="M45" s="31" t="n">
        <v>178</v>
      </c>
      <c r="N45" s="31" t="n">
        <v>21</v>
      </c>
      <c r="O45" s="31" t="n">
        <v>400</v>
      </c>
      <c r="P45" s="31" t="inlineStr">
        <is>
          <t>手塚</t>
        </is>
      </c>
      <c r="Q45" s="31" t="inlineStr">
        <is>
          <t>20戦3勝</t>
        </is>
      </c>
      <c r="R45" s="31" t="n">
        <v>3</v>
      </c>
      <c r="S45" s="31" t="n">
        <v>0</v>
      </c>
      <c r="T45" s="31" t="n">
        <v>5656</v>
      </c>
      <c r="U45" s="31" t="n">
        <v>0</v>
      </c>
      <c r="V45" s="31" t="n">
        <v>1.89</v>
      </c>
      <c r="W45" s="31" t="n">
        <v>0</v>
      </c>
      <c r="X45" s="31" t="inlineStr">
        <is>
          <t>23'青梅特別(2勝クラス)22'3歳以上1勝クラス--&gt;</t>
        </is>
      </c>
      <c r="Y45" s="31" t="n">
        <v>3</v>
      </c>
      <c r="Z45" s="31" t="inlineStr">
        <is>
          <t>牡・価格帯・420kg+</t>
        </is>
      </c>
    </row>
    <row r="46" ht="15" customHeight="1" s="19">
      <c r="A46" s="31" t="n">
        <v>2020</v>
      </c>
      <c r="B46" s="31" t="n">
        <v>45</v>
      </c>
      <c r="C46" s="31" t="inlineStr">
        <is>
          <t>リーチングの19</t>
        </is>
      </c>
      <c r="D46" s="31" t="inlineStr">
        <is>
          <t>ブロードリーチ (Broad Reach)</t>
        </is>
      </c>
      <c r="E46" s="31" t="inlineStr">
        <is>
          <t>Arrogate</t>
        </is>
      </c>
      <c r="F46" s="31" t="inlineStr">
        <is>
          <t>メス</t>
        </is>
      </c>
      <c r="G46" s="31" t="n">
        <v>5</v>
      </c>
      <c r="H46" s="31" t="n">
        <v>10</v>
      </c>
      <c r="I46" s="31" t="n">
        <v>5</v>
      </c>
      <c r="J46" s="31" t="n">
        <v>2400</v>
      </c>
      <c r="K46" s="31" t="n">
        <v>410</v>
      </c>
      <c r="L46" s="31" t="n">
        <v>158.5</v>
      </c>
      <c r="M46" s="31" t="n">
        <v>174</v>
      </c>
      <c r="N46" s="31" t="n">
        <v>21</v>
      </c>
      <c r="O46" s="31" t="n">
        <v>400</v>
      </c>
      <c r="P46" s="31" t="inlineStr">
        <is>
          <t>宗像</t>
        </is>
      </c>
      <c r="Q46" s="31" t="inlineStr">
        <is>
          <t>12戦3勝</t>
        </is>
      </c>
      <c r="R46" s="31" t="n">
        <v>1</v>
      </c>
      <c r="S46" s="31" t="n">
        <v>2</v>
      </c>
      <c r="T46" s="31" t="n">
        <v>1394</v>
      </c>
      <c r="U46" s="31" t="n">
        <v>65</v>
      </c>
      <c r="V46" s="31" t="n">
        <v>0.61</v>
      </c>
      <c r="W46" s="31" t="n">
        <v>0</v>
      </c>
      <c r="X46" s="31" t="inlineStr">
        <is>
          <t>23'4歳以上1勝クラスC3組--&gt;</t>
        </is>
      </c>
      <c r="Y46" s="31" t="n">
        <v>0</v>
      </c>
      <c r="Z46" s="31" t="inlineStr"/>
    </row>
    <row r="47" ht="15" customHeight="1" s="19">
      <c r="A47" s="31" t="n">
        <v>2020</v>
      </c>
      <c r="B47" s="31" t="n">
        <v>46</v>
      </c>
      <c r="C47" s="31" t="inlineStr">
        <is>
          <t>キラーグレイシスの19</t>
        </is>
      </c>
      <c r="D47" s="31" t="inlineStr">
        <is>
          <t>キラーアビリティ (Killer Ability)</t>
        </is>
      </c>
      <c r="E47" s="31" t="inlineStr">
        <is>
          <t>ディープインパクト</t>
        </is>
      </c>
      <c r="F47" s="31" t="inlineStr">
        <is>
          <t>牡</t>
        </is>
      </c>
      <c r="G47" s="31" t="n">
        <v>1</v>
      </c>
      <c r="H47" s="31" t="n">
        <v>10</v>
      </c>
      <c r="I47" s="31" t="n">
        <v>5</v>
      </c>
      <c r="J47" s="31" t="n">
        <v>10000</v>
      </c>
      <c r="K47" s="31" t="n">
        <v>447</v>
      </c>
      <c r="L47" s="31" t="n">
        <v>155</v>
      </c>
      <c r="M47" s="31" t="n">
        <v>174</v>
      </c>
      <c r="N47" s="31" t="n">
        <v>20.1</v>
      </c>
      <c r="O47" s="31" t="n">
        <v>400</v>
      </c>
      <c r="P47" s="31" t="inlineStr">
        <is>
          <t>斉藤</t>
        </is>
      </c>
      <c r="Q47" s="31" t="inlineStr">
        <is>
          <t>18戦3勝</t>
        </is>
      </c>
      <c r="R47" s="31" t="n">
        <v>3</v>
      </c>
      <c r="S47" s="31" t="n">
        <v>0</v>
      </c>
      <c r="T47" s="31" t="n">
        <v>14431</v>
      </c>
      <c r="U47" s="31" t="n">
        <v>0</v>
      </c>
      <c r="V47" s="31" t="n">
        <v>1.44</v>
      </c>
      <c r="W47" s="31" t="n">
        <v>1</v>
      </c>
      <c r="X47" s="31" t="inlineStr">
        <is>
          <t>21'ホープフルS(G1)22'中日新聞杯(G3)--&gt;</t>
        </is>
      </c>
      <c r="Y47" s="31" t="n">
        <v>2</v>
      </c>
      <c r="Z47" s="31" t="inlineStr">
        <is>
          <t>牡・420kg+</t>
        </is>
      </c>
    </row>
    <row r="48" ht="15" customHeight="1" s="19">
      <c r="A48" s="31" t="n">
        <v>2020</v>
      </c>
      <c r="B48" s="31" t="n">
        <v>47</v>
      </c>
      <c r="C48" s="31" t="inlineStr">
        <is>
          <t>ピースアンドウォーの19</t>
        </is>
      </c>
      <c r="D48" s="31" t="inlineStr">
        <is>
          <t>デイジーラック (Daisy Luck)</t>
        </is>
      </c>
      <c r="E48" s="31" t="inlineStr">
        <is>
          <t>ディープインパクト</t>
        </is>
      </c>
      <c r="F48" s="31" t="inlineStr">
        <is>
          <t>メス</t>
        </is>
      </c>
      <c r="G48" s="31" t="n">
        <v>1</v>
      </c>
      <c r="H48" s="31" t="n">
        <v>7</v>
      </c>
      <c r="I48" s="31" t="n">
        <v>2</v>
      </c>
      <c r="J48" s="31" t="n">
        <v>6000</v>
      </c>
      <c r="K48" s="31" t="n">
        <v>401</v>
      </c>
      <c r="L48" s="31" t="n">
        <v>153</v>
      </c>
      <c r="M48" s="31" t="n">
        <v>172.5</v>
      </c>
      <c r="N48" s="31" t="n">
        <v>19</v>
      </c>
      <c r="O48" s="31" t="n">
        <v>400</v>
      </c>
      <c r="P48" s="31" t="inlineStr">
        <is>
          <t>藤原</t>
        </is>
      </c>
      <c r="Q48" s="31" t="inlineStr">
        <is>
          <t>0戦0勝</t>
        </is>
      </c>
      <c r="R48" s="31" t="n">
        <v>0</v>
      </c>
      <c r="S48" s="31" t="n">
        <v>0</v>
      </c>
      <c r="T48" s="31" t="n">
        <v>0</v>
      </c>
      <c r="U48" s="31" t="n">
        <v>0</v>
      </c>
      <c r="V48" s="31" t="n">
        <v>0</v>
      </c>
      <c r="W48" s="31" t="n">
        <v>0</v>
      </c>
      <c r="X48" s="31" t="inlineStr">
        <is>
          <t>--&gt;</t>
        </is>
      </c>
      <c r="Y48" s="31" t="n">
        <v>0</v>
      </c>
      <c r="Z48" s="31" t="inlineStr"/>
    </row>
    <row r="49" ht="15" customHeight="1" s="19">
      <c r="A49" s="31" t="n">
        <v>2020</v>
      </c>
      <c r="B49" s="31" t="n">
        <v>48</v>
      </c>
      <c r="C49" s="31" t="inlineStr">
        <is>
          <t>シンハライトの19</t>
        </is>
      </c>
      <c r="D49" s="31" t="inlineStr">
        <is>
          <t>アルジュナ (Arjuna)</t>
        </is>
      </c>
      <c r="E49" s="31" t="inlineStr">
        <is>
          <t>キングカメハメハ</t>
        </is>
      </c>
      <c r="F49" s="31" t="inlineStr">
        <is>
          <t>牡</t>
        </is>
      </c>
      <c r="G49" s="31" t="n">
        <v>2</v>
      </c>
      <c r="H49" s="31" t="n">
        <v>6</v>
      </c>
      <c r="I49" s="31" t="n">
        <v>2</v>
      </c>
      <c r="J49" s="31" t="n">
        <v>10000</v>
      </c>
      <c r="K49" s="31" t="n">
        <v>406</v>
      </c>
      <c r="L49" s="31" t="n">
        <v>156</v>
      </c>
      <c r="M49" s="31" t="n">
        <v>178</v>
      </c>
      <c r="N49" s="31" t="n">
        <v>21</v>
      </c>
      <c r="O49" s="31" t="n">
        <v>400</v>
      </c>
      <c r="P49" s="31" t="inlineStr">
        <is>
          <t>池添 学</t>
        </is>
      </c>
      <c r="Q49" s="31" t="inlineStr">
        <is>
          <t>0戦0勝</t>
        </is>
      </c>
      <c r="R49" s="31" t="n">
        <v>0</v>
      </c>
      <c r="S49" s="31" t="n">
        <v>0</v>
      </c>
      <c r="T49" s="31" t="n">
        <v>0</v>
      </c>
      <c r="U49" s="31" t="n">
        <v>0</v>
      </c>
      <c r="V49" s="31" t="n">
        <v>0</v>
      </c>
      <c r="W49" s="31" t="n">
        <v>0</v>
      </c>
      <c r="X49" s="31" t="inlineStr">
        <is>
          <t>--&gt;</t>
        </is>
      </c>
      <c r="Y49" s="31" t="n">
        <v>1</v>
      </c>
      <c r="Z49" s="31" t="inlineStr">
        <is>
          <t>牡</t>
        </is>
      </c>
    </row>
    <row r="50" ht="15" customHeight="1" s="19">
      <c r="A50" s="31" t="n">
        <v>2020</v>
      </c>
      <c r="B50" s="31" t="n">
        <v>49</v>
      </c>
      <c r="C50" s="31" t="inlineStr">
        <is>
          <t>フロアクラフトの19</t>
        </is>
      </c>
      <c r="D50" s="31" t="inlineStr">
        <is>
          <t>アレマーナ (Alemana)</t>
        </is>
      </c>
      <c r="E50" s="31" t="inlineStr">
        <is>
          <t>キングカメハメハ</t>
        </is>
      </c>
      <c r="F50" s="31" t="inlineStr">
        <is>
          <t>メス</t>
        </is>
      </c>
      <c r="G50" s="31" t="n">
        <v>4</v>
      </c>
      <c r="H50" s="31" t="n">
        <v>9</v>
      </c>
      <c r="I50" s="31" t="n">
        <v>3</v>
      </c>
      <c r="J50" s="31" t="n">
        <v>4000</v>
      </c>
      <c r="K50" s="31" t="n">
        <v>438</v>
      </c>
      <c r="L50" s="31" t="n">
        <v>154</v>
      </c>
      <c r="M50" s="31" t="n">
        <v>180</v>
      </c>
      <c r="N50" s="31" t="n">
        <v>20.2</v>
      </c>
      <c r="O50" s="31" t="n">
        <v>400</v>
      </c>
      <c r="P50" s="31" t="inlineStr">
        <is>
          <t>松下 武士</t>
        </is>
      </c>
      <c r="Q50" s="31" t="inlineStr">
        <is>
          <t>23戦2勝</t>
        </is>
      </c>
      <c r="R50" s="31" t="n">
        <v>2</v>
      </c>
      <c r="S50" s="31" t="n">
        <v>0</v>
      </c>
      <c r="T50" s="31" t="n">
        <v>2407</v>
      </c>
      <c r="U50" s="31" t="n">
        <v>0</v>
      </c>
      <c r="V50" s="31" t="n">
        <v>0.6</v>
      </c>
      <c r="W50" s="31" t="n">
        <v>0</v>
      </c>
      <c r="X50" s="31" t="inlineStr">
        <is>
          <t>23'4歳以上1勝クラス22'3歳未勝利--&gt;</t>
        </is>
      </c>
      <c r="Y50" s="31" t="n">
        <v>1</v>
      </c>
      <c r="Z50" s="31" t="inlineStr">
        <is>
          <t>420kg+</t>
        </is>
      </c>
    </row>
    <row r="51" ht="15" customHeight="1" s="19">
      <c r="A51" s="31" t="n">
        <v>2020</v>
      </c>
      <c r="B51" s="31" t="n">
        <v>50</v>
      </c>
      <c r="C51" s="31" t="inlineStr">
        <is>
          <t>クルソラの19</t>
        </is>
      </c>
      <c r="D51" s="31" t="inlineStr">
        <is>
          <t>セレシオン (Seleccion)</t>
        </is>
      </c>
      <c r="E51" s="31" t="inlineStr">
        <is>
          <t>ハーツクライ</t>
        </is>
      </c>
      <c r="F51" s="31" t="inlineStr">
        <is>
          <t>牡</t>
        </is>
      </c>
      <c r="G51" s="31" t="n">
        <v>4</v>
      </c>
      <c r="H51" s="31" t="n">
        <v>17</v>
      </c>
      <c r="I51" s="31" t="n">
        <v>11</v>
      </c>
      <c r="J51" s="31" t="n">
        <v>5000</v>
      </c>
      <c r="K51" s="31" t="n">
        <v>439</v>
      </c>
      <c r="L51" s="31" t="n">
        <v>157</v>
      </c>
      <c r="M51" s="31" t="n">
        <v>175.5</v>
      </c>
      <c r="N51" s="31" t="n">
        <v>20.7</v>
      </c>
      <c r="O51" s="31" t="n">
        <v>400</v>
      </c>
      <c r="P51" s="31" t="inlineStr">
        <is>
          <t>友道</t>
        </is>
      </c>
      <c r="Q51" s="31" t="inlineStr">
        <is>
          <t>16戦4勝</t>
        </is>
      </c>
      <c r="R51" s="31" t="n">
        <v>4</v>
      </c>
      <c r="S51" s="31" t="n">
        <v>0</v>
      </c>
      <c r="T51" s="31" t="n">
        <v>10586</v>
      </c>
      <c r="U51" s="31" t="n">
        <v>0</v>
      </c>
      <c r="V51" s="31" t="n">
        <v>2.12</v>
      </c>
      <c r="W51" s="31" t="n">
        <v>0</v>
      </c>
      <c r="X51" s="31" t="inlineStr">
        <is>
          <t>24'弥彦S(3勝クラス)22'阿賀野川特別(2勝クラス)--&gt;</t>
        </is>
      </c>
      <c r="Y51" s="31" t="n">
        <v>2</v>
      </c>
      <c r="Z51" s="31" t="inlineStr">
        <is>
          <t>牡・420kg+</t>
        </is>
      </c>
    </row>
    <row r="52" ht="15" customHeight="1" s="19">
      <c r="A52" s="31" t="n">
        <v>2020</v>
      </c>
      <c r="B52" s="31" t="n">
        <v>51</v>
      </c>
      <c r="C52" s="31" t="inlineStr">
        <is>
          <t>ファイナルスコアの19</t>
        </is>
      </c>
      <c r="D52" s="31" t="inlineStr">
        <is>
          <t>プレミアスコア (Premiere Score)</t>
        </is>
      </c>
      <c r="E52" s="31" t="inlineStr">
        <is>
          <t>ハーツクライ</t>
        </is>
      </c>
      <c r="F52" s="31" t="inlineStr">
        <is>
          <t>メス</t>
        </is>
      </c>
      <c r="G52" s="31" t="n">
        <v>2</v>
      </c>
      <c r="H52" s="31" t="n">
        <v>8</v>
      </c>
      <c r="I52" s="31" t="n">
        <v>3</v>
      </c>
      <c r="J52" s="31" t="n">
        <v>4400</v>
      </c>
      <c r="K52" s="31" t="n">
        <v>437</v>
      </c>
      <c r="L52" s="31" t="n">
        <v>160</v>
      </c>
      <c r="M52" s="31" t="n">
        <v>183.5</v>
      </c>
      <c r="N52" s="31" t="n">
        <v>19</v>
      </c>
      <c r="O52" s="31" t="n">
        <v>400</v>
      </c>
      <c r="P52" s="31" t="inlineStr">
        <is>
          <t>松永 幹夫</t>
        </is>
      </c>
      <c r="Q52" s="31" t="inlineStr">
        <is>
          <t>10戦1勝</t>
        </is>
      </c>
      <c r="R52" s="31" t="n">
        <v>1</v>
      </c>
      <c r="S52" s="31" t="n">
        <v>0</v>
      </c>
      <c r="T52" s="31" t="n">
        <v>1097</v>
      </c>
      <c r="U52" s="31" t="n">
        <v>0</v>
      </c>
      <c r="V52" s="31" t="n">
        <v>0.25</v>
      </c>
      <c r="W52" s="31" t="n">
        <v>0</v>
      </c>
      <c r="X52" s="31" t="inlineStr">
        <is>
          <t>22'3歳未勝利--&gt;</t>
        </is>
      </c>
      <c r="Y52" s="31" t="n">
        <v>1</v>
      </c>
      <c r="Z52" s="31" t="inlineStr">
        <is>
          <t>420kg+</t>
        </is>
      </c>
    </row>
    <row r="53" ht="15" customHeight="1" s="19">
      <c r="A53" s="31" t="n">
        <v>2020</v>
      </c>
      <c r="B53" s="31" t="n">
        <v>52</v>
      </c>
      <c r="C53" s="31" t="inlineStr">
        <is>
          <t>マルティンスタークの19</t>
        </is>
      </c>
      <c r="D53" s="31" t="inlineStr">
        <is>
          <t>アルトシュタット (Altstadt)</t>
        </is>
      </c>
      <c r="E53" s="31" t="inlineStr">
        <is>
          <t>ロードカナロア</t>
        </is>
      </c>
      <c r="F53" s="31" t="inlineStr">
        <is>
          <t>牡</t>
        </is>
      </c>
      <c r="G53" s="31" t="n">
        <v>3</v>
      </c>
      <c r="H53" s="31" t="n">
        <v>14</v>
      </c>
      <c r="I53" s="31" t="n">
        <v>7</v>
      </c>
      <c r="J53" s="31" t="n">
        <v>5000</v>
      </c>
      <c r="K53" s="31" t="n">
        <v>442</v>
      </c>
      <c r="L53" s="31" t="n">
        <v>151</v>
      </c>
      <c r="M53" s="31" t="n">
        <v>175</v>
      </c>
      <c r="N53" s="31" t="n">
        <v>20.4</v>
      </c>
      <c r="O53" s="31" t="n">
        <v>400</v>
      </c>
      <c r="P53" s="31" t="inlineStr">
        <is>
          <t>安田 翔伍</t>
        </is>
      </c>
      <c r="Q53" s="31" t="inlineStr">
        <is>
          <t>25戦7勝</t>
        </is>
      </c>
      <c r="R53" s="31" t="n">
        <v>3</v>
      </c>
      <c r="S53" s="31" t="n">
        <v>4</v>
      </c>
      <c r="T53" s="31" t="n">
        <v>5740</v>
      </c>
      <c r="U53" s="31" t="n">
        <v>240</v>
      </c>
      <c r="V53" s="31" t="n">
        <v>1.2</v>
      </c>
      <c r="W53" s="31" t="n">
        <v>0</v>
      </c>
      <c r="X53" s="31" t="inlineStr">
        <is>
          <t>23'4歳以上2勝クラス21'さざんか賞(1勝クラス)--&gt;</t>
        </is>
      </c>
      <c r="Y53" s="31" t="n">
        <v>2</v>
      </c>
      <c r="Z53" s="31" t="inlineStr">
        <is>
          <t>牡・420kg+</t>
        </is>
      </c>
    </row>
    <row r="54" ht="15" customHeight="1" s="19">
      <c r="A54" s="31" t="n">
        <v>2020</v>
      </c>
      <c r="B54" s="31" t="n">
        <v>53</v>
      </c>
      <c r="C54" s="31" t="inlineStr">
        <is>
          <t>サンビスタの19</t>
        </is>
      </c>
      <c r="D54" s="31" t="inlineStr">
        <is>
          <t>ジレトール (Diretor)</t>
        </is>
      </c>
      <c r="E54" s="31" t="inlineStr">
        <is>
          <t>ロードカナロア</t>
        </is>
      </c>
      <c r="F54" s="31" t="inlineStr">
        <is>
          <t>牡</t>
        </is>
      </c>
      <c r="G54" s="31" t="n">
        <v>4</v>
      </c>
      <c r="H54" s="31" t="n">
        <v>10</v>
      </c>
      <c r="I54" s="31" t="n">
        <v>3</v>
      </c>
      <c r="J54" s="31" t="n">
        <v>8000</v>
      </c>
      <c r="K54" s="31" t="n">
        <v>401</v>
      </c>
      <c r="L54" s="31" t="n">
        <v>154</v>
      </c>
      <c r="M54" s="31" t="n">
        <v>170</v>
      </c>
      <c r="N54" s="31" t="n">
        <v>20.5</v>
      </c>
      <c r="O54" s="31" t="n">
        <v>400</v>
      </c>
      <c r="P54" s="31" t="inlineStr">
        <is>
          <t>松永 幹夫</t>
        </is>
      </c>
      <c r="Q54" s="31" t="inlineStr">
        <is>
          <t>26戦6勝</t>
        </is>
      </c>
      <c r="R54" s="31" t="n">
        <v>6</v>
      </c>
      <c r="S54" s="31" t="n">
        <v>0</v>
      </c>
      <c r="T54" s="31" t="n">
        <v>15177</v>
      </c>
      <c r="U54" s="31" t="n">
        <v>390</v>
      </c>
      <c r="V54" s="31" t="n">
        <v>1.95</v>
      </c>
      <c r="W54" s="31" t="n">
        <v>0</v>
      </c>
      <c r="X54" s="31" t="inlineStr">
        <is>
          <t>24'天王山S(OP)24'松風月S(OP)--&gt;</t>
        </is>
      </c>
      <c r="Y54" s="31" t="n">
        <v>1</v>
      </c>
      <c r="Z54" s="31" t="inlineStr">
        <is>
          <t>牡</t>
        </is>
      </c>
    </row>
    <row r="55" ht="15" customHeight="1" s="19">
      <c r="A55" s="31" t="n">
        <v>2020</v>
      </c>
      <c r="B55" s="31" t="n">
        <v>54</v>
      </c>
      <c r="C55" s="31" t="inlineStr">
        <is>
          <t>シェリールの19</t>
        </is>
      </c>
      <c r="D55" s="31" t="inlineStr">
        <is>
          <t>アッタガール (Attagirl)</t>
        </is>
      </c>
      <c r="E55" s="31" t="inlineStr">
        <is>
          <t>ロードカナロア</t>
        </is>
      </c>
      <c r="F55" s="31" t="inlineStr">
        <is>
          <t>メス</t>
        </is>
      </c>
      <c r="G55" s="31" t="n">
        <v>2</v>
      </c>
      <c r="H55" s="31" t="n">
        <v>19</v>
      </c>
      <c r="I55" s="31" t="n">
        <v>11</v>
      </c>
      <c r="J55" s="31" t="n">
        <v>3400</v>
      </c>
      <c r="K55" s="31" t="n">
        <v>468</v>
      </c>
      <c r="L55" s="31" t="n">
        <v>160</v>
      </c>
      <c r="M55" s="31" t="n">
        <v>181</v>
      </c>
      <c r="N55" s="31" t="n">
        <v>20</v>
      </c>
      <c r="O55" s="31" t="n">
        <v>400</v>
      </c>
      <c r="P55" s="31" t="inlineStr">
        <is>
          <t>池江</t>
        </is>
      </c>
      <c r="Q55" s="31" t="inlineStr">
        <is>
          <t>4戦1勝</t>
        </is>
      </c>
      <c r="R55" s="31" t="n">
        <v>0</v>
      </c>
      <c r="S55" s="31" t="n">
        <v>1</v>
      </c>
      <c r="T55" s="31" t="n">
        <v>0</v>
      </c>
      <c r="U55" s="31" t="n">
        <v>55</v>
      </c>
      <c r="V55" s="31" t="n">
        <v>0.02</v>
      </c>
      <c r="W55" s="31" t="n">
        <v>0</v>
      </c>
      <c r="X55" s="31" t="inlineStr">
        <is>
          <t>C2七組--&gt;</t>
        </is>
      </c>
      <c r="Y55" s="31" t="n">
        <v>2</v>
      </c>
      <c r="Z55" s="31" t="inlineStr">
        <is>
          <t>価格帯・420kg+</t>
        </is>
      </c>
    </row>
    <row r="56" ht="15" customHeight="1" s="19">
      <c r="A56" s="31" t="n">
        <v>2020</v>
      </c>
      <c r="B56" s="31" t="n">
        <v>55</v>
      </c>
      <c r="C56" s="31" t="inlineStr">
        <is>
          <t>ジンジャーパンチの19</t>
        </is>
      </c>
      <c r="D56" s="31" t="inlineStr">
        <is>
          <t>プレミアムスマイル (Premium Smile)</t>
        </is>
      </c>
      <c r="E56" s="31" t="inlineStr">
        <is>
          <t>ロードカナロア</t>
        </is>
      </c>
      <c r="F56" s="31" t="inlineStr">
        <is>
          <t>メス</t>
        </is>
      </c>
      <c r="G56" s="31" t="n">
        <v>4</v>
      </c>
      <c r="H56" s="31" t="n">
        <v>16</v>
      </c>
      <c r="I56" s="31" t="n">
        <v>9</v>
      </c>
      <c r="J56" s="31" t="n">
        <v>5600</v>
      </c>
      <c r="K56" s="31" t="n">
        <v>466</v>
      </c>
      <c r="L56" s="31" t="n">
        <v>152.5</v>
      </c>
      <c r="M56" s="31" t="n">
        <v>177</v>
      </c>
      <c r="N56" s="31" t="n">
        <v>19.7</v>
      </c>
      <c r="O56" s="31" t="n">
        <v>400</v>
      </c>
      <c r="P56" s="31" t="inlineStr">
        <is>
          <t>池添 学</t>
        </is>
      </c>
      <c r="Q56" s="31" t="inlineStr">
        <is>
          <t>19戦3勝</t>
        </is>
      </c>
      <c r="R56" s="31" t="n">
        <v>3</v>
      </c>
      <c r="S56" s="31" t="n">
        <v>0</v>
      </c>
      <c r="T56" s="31" t="n">
        <v>3534</v>
      </c>
      <c r="U56" s="31" t="n">
        <v>0</v>
      </c>
      <c r="V56" s="31" t="n">
        <v>0.63</v>
      </c>
      <c r="W56" s="31" t="n">
        <v>0</v>
      </c>
      <c r="X56" s="31" t="inlineStr">
        <is>
          <t>23'3歳以上2勝クラス22'3歳以上1勝クラス--&gt;</t>
        </is>
      </c>
      <c r="Y56" s="31" t="n">
        <v>1</v>
      </c>
      <c r="Z56" s="31" t="inlineStr">
        <is>
          <t>420kg+</t>
        </is>
      </c>
    </row>
    <row r="57" ht="15" customHeight="1" s="19">
      <c r="A57" s="31" t="n">
        <v>2020</v>
      </c>
      <c r="B57" s="31" t="n">
        <v>56</v>
      </c>
      <c r="C57" s="31" t="inlineStr">
        <is>
          <t>ギモーヴの19</t>
        </is>
      </c>
      <c r="D57" s="31" t="inlineStr">
        <is>
          <t>スモア (S'more)</t>
        </is>
      </c>
      <c r="E57" s="31" t="inlineStr">
        <is>
          <t>ドゥラメンテ</t>
        </is>
      </c>
      <c r="F57" s="31" t="inlineStr">
        <is>
          <t>牡</t>
        </is>
      </c>
      <c r="G57" s="31" t="n">
        <v>2</v>
      </c>
      <c r="H57" s="31" t="n">
        <v>6</v>
      </c>
      <c r="I57" s="31" t="n">
        <v>1</v>
      </c>
      <c r="J57" s="31" t="n">
        <v>4400</v>
      </c>
      <c r="K57" s="31" t="n">
        <v>451</v>
      </c>
      <c r="L57" s="31" t="n">
        <v>157.5</v>
      </c>
      <c r="M57" s="31" t="n">
        <v>175.5</v>
      </c>
      <c r="N57" s="31" t="n">
        <v>20.8</v>
      </c>
      <c r="O57" s="31" t="n">
        <v>400</v>
      </c>
      <c r="P57" s="31" t="inlineStr">
        <is>
          <t>高野</t>
        </is>
      </c>
      <c r="Q57" s="31" t="inlineStr">
        <is>
          <t>1戦0勝</t>
        </is>
      </c>
      <c r="R57" s="31" t="n">
        <v>0</v>
      </c>
      <c r="S57" s="31" t="n">
        <v>0</v>
      </c>
      <c r="T57" s="31" t="n">
        <v>0</v>
      </c>
      <c r="U57" s="31" t="n">
        <v>0</v>
      </c>
      <c r="V57" s="31" t="n">
        <v>0</v>
      </c>
      <c r="W57" s="31" t="n">
        <v>0</v>
      </c>
      <c r="X57" s="31" t="inlineStr">
        <is>
          <t>--&gt;</t>
        </is>
      </c>
      <c r="Y57" s="31" t="n">
        <v>2</v>
      </c>
      <c r="Z57" s="31" t="inlineStr">
        <is>
          <t>牡・420kg+</t>
        </is>
      </c>
    </row>
    <row r="58" ht="15" customHeight="1" s="19">
      <c r="A58" s="31" t="n">
        <v>2020</v>
      </c>
      <c r="B58" s="31" t="n">
        <v>57</v>
      </c>
      <c r="C58" s="31" t="inlineStr">
        <is>
          <t>シャムロッカーの19</t>
        </is>
      </c>
      <c r="D58" s="31" t="inlineStr">
        <is>
          <t>トリフォリウム (Trifolium)</t>
        </is>
      </c>
      <c r="E58" s="31" t="inlineStr">
        <is>
          <t>ドゥラメンテ</t>
        </is>
      </c>
      <c r="F58" s="31" t="inlineStr">
        <is>
          <t>メス</t>
        </is>
      </c>
      <c r="G58" s="31" t="n">
        <v>2</v>
      </c>
      <c r="H58" s="31" t="n">
        <v>12</v>
      </c>
      <c r="I58" s="31" t="n">
        <v>6</v>
      </c>
      <c r="J58" s="31" t="n">
        <v>2800</v>
      </c>
      <c r="K58" s="31" t="n">
        <v>494</v>
      </c>
      <c r="L58" s="31" t="n">
        <v>164.5</v>
      </c>
      <c r="M58" s="31" t="n">
        <v>180</v>
      </c>
      <c r="N58" s="31" t="n">
        <v>19.7</v>
      </c>
      <c r="O58" s="31" t="n">
        <v>400</v>
      </c>
      <c r="P58" s="31" t="inlineStr">
        <is>
          <t>庄野</t>
        </is>
      </c>
      <c r="Q58" s="31" t="inlineStr">
        <is>
          <t>2戦0勝</t>
        </is>
      </c>
      <c r="R58" s="31" t="n">
        <v>0</v>
      </c>
      <c r="S58" s="31" t="n">
        <v>0</v>
      </c>
      <c r="T58" s="31" t="n">
        <v>0</v>
      </c>
      <c r="U58" s="31" t="n">
        <v>0</v>
      </c>
      <c r="V58" s="31" t="n">
        <v>0</v>
      </c>
      <c r="W58" s="31" t="n">
        <v>0</v>
      </c>
      <c r="X58" s="31" t="inlineStr">
        <is>
          <t>--&gt;</t>
        </is>
      </c>
      <c r="Y58" s="31" t="n">
        <v>2</v>
      </c>
      <c r="Z58" s="31" t="inlineStr">
        <is>
          <t>価格帯・420kg+</t>
        </is>
      </c>
    </row>
    <row r="59" ht="15" customHeight="1" s="19">
      <c r="A59" s="31" t="n">
        <v>2020</v>
      </c>
      <c r="B59" s="31" t="n">
        <v>58</v>
      </c>
      <c r="C59" s="31" t="inlineStr">
        <is>
          <t>リッチダンサーの19</t>
        </is>
      </c>
      <c r="D59" s="31" t="inlineStr">
        <is>
          <t>ラクスバラディー (Raqs Baladi)</t>
        </is>
      </c>
      <c r="E59" s="31" t="inlineStr">
        <is>
          <t>ドゥラメンテ</t>
        </is>
      </c>
      <c r="F59" s="31" t="inlineStr">
        <is>
          <t>メス</t>
        </is>
      </c>
      <c r="G59" s="31" t="n">
        <v>3</v>
      </c>
      <c r="H59" s="31" t="n">
        <v>19</v>
      </c>
      <c r="I59" s="31" t="n">
        <v>15</v>
      </c>
      <c r="J59" s="31" t="n">
        <v>4000</v>
      </c>
      <c r="K59" s="31" t="n">
        <v>479</v>
      </c>
      <c r="L59" s="31" t="n">
        <v>162</v>
      </c>
      <c r="M59" s="31" t="n">
        <v>180</v>
      </c>
      <c r="N59" s="31" t="n">
        <v>20.2</v>
      </c>
      <c r="O59" s="31" t="n">
        <v>400</v>
      </c>
      <c r="P59" s="31" t="inlineStr">
        <is>
          <t>清水</t>
        </is>
      </c>
      <c r="Q59" s="31" t="inlineStr">
        <is>
          <t>22戦3勝</t>
        </is>
      </c>
      <c r="R59" s="31" t="n">
        <v>3</v>
      </c>
      <c r="S59" s="31" t="n">
        <v>0</v>
      </c>
      <c r="T59" s="31" t="n">
        <v>4658</v>
      </c>
      <c r="U59" s="31" t="n">
        <v>0</v>
      </c>
      <c r="V59" s="31" t="n">
        <v>1.16</v>
      </c>
      <c r="W59" s="31" t="n">
        <v>0</v>
      </c>
      <c r="X59" s="31" t="inlineStr">
        <is>
          <t>23'御池特別(2勝クラス)22'3歳以上1勝クラス--&gt;</t>
        </is>
      </c>
      <c r="Y59" s="31" t="n">
        <v>1</v>
      </c>
      <c r="Z59" s="31" t="inlineStr">
        <is>
          <t>420kg+</t>
        </is>
      </c>
    </row>
    <row r="60" ht="15" customHeight="1" s="19">
      <c r="A60" s="31" t="n">
        <v>2020</v>
      </c>
      <c r="B60" s="31" t="n">
        <v>59</v>
      </c>
      <c r="C60" s="31" t="inlineStr">
        <is>
          <t>ディアマイベイビーの19</t>
        </is>
      </c>
      <c r="D60" s="31" t="inlineStr">
        <is>
          <t>ゲイングラウンド (Gain Ground)</t>
        </is>
      </c>
      <c r="E60" s="31" t="inlineStr">
        <is>
          <t>モーリス</t>
        </is>
      </c>
      <c r="F60" s="31" t="inlineStr">
        <is>
          <t>牡</t>
        </is>
      </c>
      <c r="G60" s="31" t="n">
        <v>5</v>
      </c>
      <c r="H60" s="31" t="n">
        <v>9</v>
      </c>
      <c r="I60" s="31" t="n">
        <v>4</v>
      </c>
      <c r="J60" s="31" t="n">
        <v>4000</v>
      </c>
      <c r="K60" s="31" t="n"/>
      <c r="L60" s="31" t="n"/>
      <c r="M60" s="31" t="n"/>
      <c r="N60" s="31" t="n"/>
      <c r="O60" s="31" t="n">
        <v>400</v>
      </c>
      <c r="P60" s="31" t="inlineStr">
        <is>
          <t>須貝</t>
        </is>
      </c>
      <c r="Q60" s="31" t="inlineStr">
        <is>
          <t>7戦1勝</t>
        </is>
      </c>
      <c r="R60" s="31" t="n">
        <v>1</v>
      </c>
      <c r="S60" s="31" t="n">
        <v>0</v>
      </c>
      <c r="T60" s="31" t="n">
        <v>928</v>
      </c>
      <c r="U60" s="31" t="n">
        <v>0</v>
      </c>
      <c r="V60" s="31" t="n">
        <v>0.23</v>
      </c>
      <c r="W60" s="31" t="n">
        <v>0</v>
      </c>
      <c r="X60" s="31" t="inlineStr">
        <is>
          <t>22'3歳未勝利--&gt;</t>
        </is>
      </c>
      <c r="Y60" s="31" t="n"/>
      <c r="Z60" s="31" t="inlineStr">
        <is>
          <t>牡</t>
        </is>
      </c>
    </row>
    <row r="61" ht="15" customHeight="1" s="19">
      <c r="A61" s="31" t="n">
        <v>2020</v>
      </c>
      <c r="B61" s="31" t="n">
        <v>60</v>
      </c>
      <c r="C61" s="31" t="inlineStr">
        <is>
          <t>アビラの19</t>
        </is>
      </c>
      <c r="D61" s="31" t="inlineStr">
        <is>
          <t>ラスマドレス (Las Madres)</t>
        </is>
      </c>
      <c r="E61" s="31" t="inlineStr">
        <is>
          <t>モーリス</t>
        </is>
      </c>
      <c r="F61" s="31" t="inlineStr">
        <is>
          <t>メス</t>
        </is>
      </c>
      <c r="G61" s="31" t="n">
        <v>3</v>
      </c>
      <c r="H61" s="31" t="n">
        <v>15</v>
      </c>
      <c r="I61" s="31" t="n">
        <v>10</v>
      </c>
      <c r="J61" s="31" t="n">
        <v>2800</v>
      </c>
      <c r="K61" s="31" t="n">
        <v>438</v>
      </c>
      <c r="L61" s="31" t="n">
        <v>160</v>
      </c>
      <c r="M61" s="31" t="n">
        <v>180</v>
      </c>
      <c r="N61" s="31" t="n">
        <v>20</v>
      </c>
      <c r="O61" s="31" t="n">
        <v>400</v>
      </c>
      <c r="P61" s="31" t="inlineStr">
        <is>
          <t>安田 隆行</t>
        </is>
      </c>
      <c r="Q61" s="31" t="inlineStr">
        <is>
          <t>20戦3勝</t>
        </is>
      </c>
      <c r="R61" s="31" t="n">
        <v>3</v>
      </c>
      <c r="S61" s="31" t="n">
        <v>0</v>
      </c>
      <c r="T61" s="31" t="n">
        <v>4452</v>
      </c>
      <c r="U61" s="31" t="n">
        <v>0</v>
      </c>
      <c r="V61" s="31" t="n">
        <v>1.59</v>
      </c>
      <c r="W61" s="31" t="n">
        <v>0</v>
      </c>
      <c r="X61" s="31" t="inlineStr">
        <is>
          <t>23'衣笠特別(2勝クラス)23'3歳以上1勝クラス--&gt;</t>
        </is>
      </c>
      <c r="Y61" s="31" t="n">
        <v>2</v>
      </c>
      <c r="Z61" s="31" t="inlineStr">
        <is>
          <t>価格帯・420kg+</t>
        </is>
      </c>
    </row>
    <row r="62" ht="15" customHeight="1" s="19">
      <c r="A62" s="31" t="n">
        <v>2020</v>
      </c>
      <c r="B62" s="31" t="n">
        <v>61</v>
      </c>
      <c r="C62" s="31" t="inlineStr">
        <is>
          <t>プルメリアスターの19</t>
        </is>
      </c>
      <c r="D62" s="31" t="inlineStr">
        <is>
          <t>セラディーン (Celadine)</t>
        </is>
      </c>
      <c r="E62" s="31" t="inlineStr">
        <is>
          <t>モーリス</t>
        </is>
      </c>
      <c r="F62" s="31" t="inlineStr">
        <is>
          <t>メス</t>
        </is>
      </c>
      <c r="G62" s="31" t="n">
        <v>3</v>
      </c>
      <c r="H62" s="31" t="n">
        <v>7</v>
      </c>
      <c r="I62" s="31" t="n">
        <v>1</v>
      </c>
      <c r="J62" s="31" t="n">
        <v>2800</v>
      </c>
      <c r="K62" s="31" t="n">
        <v>412</v>
      </c>
      <c r="L62" s="31" t="n">
        <v>156</v>
      </c>
      <c r="M62" s="31" t="n">
        <v>171.5</v>
      </c>
      <c r="N62" s="31" t="n">
        <v>18.5</v>
      </c>
      <c r="O62" s="31" t="n">
        <v>400</v>
      </c>
      <c r="P62" s="31" t="inlineStr">
        <is>
          <t>矢作</t>
        </is>
      </c>
      <c r="Q62" s="31" t="inlineStr">
        <is>
          <t>1戦0勝</t>
        </is>
      </c>
      <c r="R62" s="31" t="n">
        <v>0</v>
      </c>
      <c r="S62" s="31" t="n">
        <v>0</v>
      </c>
      <c r="T62" s="31" t="n">
        <v>78</v>
      </c>
      <c r="U62" s="31" t="n">
        <v>0</v>
      </c>
      <c r="V62" s="31" t="n">
        <v>0.03</v>
      </c>
      <c r="W62" s="31" t="n">
        <v>0</v>
      </c>
      <c r="X62" s="31" t="inlineStr">
        <is>
          <t>--&gt;</t>
        </is>
      </c>
      <c r="Y62" s="31" t="n">
        <v>1</v>
      </c>
      <c r="Z62" s="31" t="inlineStr">
        <is>
          <t>価格帯</t>
        </is>
      </c>
    </row>
    <row r="63" ht="15" customHeight="1" s="19">
      <c r="A63" s="31" t="n">
        <v>2020</v>
      </c>
      <c r="B63" s="31" t="n">
        <v>62</v>
      </c>
      <c r="C63" s="31" t="inlineStr">
        <is>
          <t>テネイシャスの19</t>
        </is>
      </c>
      <c r="D63" s="31" t="inlineStr"/>
      <c r="E63" s="31" t="inlineStr">
        <is>
          <t>エピファネイア</t>
        </is>
      </c>
      <c r="F63" s="31" t="inlineStr">
        <is>
          <t>牡</t>
        </is>
      </c>
      <c r="G63" s="31" t="n">
        <v>4</v>
      </c>
      <c r="H63" s="31" t="n">
        <v>4</v>
      </c>
      <c r="I63" s="31" t="n">
        <v>1</v>
      </c>
      <c r="J63" s="31" t="n">
        <v>3000</v>
      </c>
      <c r="K63" s="31" t="n">
        <v>430</v>
      </c>
      <c r="L63" s="31" t="n">
        <v>150</v>
      </c>
      <c r="M63" s="31" t="n">
        <v>171.5</v>
      </c>
      <c r="N63" s="31" t="n">
        <v>20.3</v>
      </c>
      <c r="O63" s="31" t="n">
        <v>400</v>
      </c>
      <c r="P63" s="31" t="inlineStr">
        <is>
          <t>池江</t>
        </is>
      </c>
      <c r="Q63" s="31" t="inlineStr"/>
      <c r="R63" s="31" t="n"/>
      <c r="S63" s="31" t="n"/>
      <c r="T63" s="31" t="n"/>
      <c r="U63" s="31" t="n"/>
      <c r="V63" s="31" t="n">
        <v>0</v>
      </c>
      <c r="W63" s="31" t="n">
        <v>0</v>
      </c>
      <c r="X63" s="31" t="inlineStr"/>
      <c r="Y63" s="31" t="n">
        <v>3</v>
      </c>
      <c r="Z63" s="31" t="inlineStr">
        <is>
          <t>牡・価格帯・420kg+</t>
        </is>
      </c>
    </row>
    <row r="64" ht="15" customHeight="1" s="19">
      <c r="A64" s="31" t="n">
        <v>2020</v>
      </c>
      <c r="B64" s="31" t="n">
        <v>63</v>
      </c>
      <c r="C64" s="31" t="inlineStr">
        <is>
          <t>リラヴァティの19</t>
        </is>
      </c>
      <c r="D64" s="31" t="inlineStr">
        <is>
          <t>ホートンプレインズ (Horton Plains)</t>
        </is>
      </c>
      <c r="E64" s="31" t="inlineStr">
        <is>
          <t>エピファネイア</t>
        </is>
      </c>
      <c r="F64" s="31" t="inlineStr">
        <is>
          <t>メス</t>
        </is>
      </c>
      <c r="G64" s="31" t="n">
        <v>2</v>
      </c>
      <c r="H64" s="31" t="n">
        <v>8</v>
      </c>
      <c r="I64" s="31" t="n">
        <v>2</v>
      </c>
      <c r="J64" s="31" t="n">
        <v>3600</v>
      </c>
      <c r="K64" s="31" t="n">
        <v>429</v>
      </c>
      <c r="L64" s="31" t="n">
        <v>155.5</v>
      </c>
      <c r="M64" s="31" t="n">
        <v>175</v>
      </c>
      <c r="N64" s="31" t="n">
        <v>19.6</v>
      </c>
      <c r="O64" s="31" t="n">
        <v>400</v>
      </c>
      <c r="P64" s="31" t="inlineStr">
        <is>
          <t>平田</t>
        </is>
      </c>
      <c r="Q64" s="31" t="inlineStr">
        <is>
          <t>10戦0勝</t>
        </is>
      </c>
      <c r="R64" s="31" t="n">
        <v>0</v>
      </c>
      <c r="S64" s="31" t="n">
        <v>0</v>
      </c>
      <c r="T64" s="31" t="n">
        <v>650</v>
      </c>
      <c r="U64" s="31" t="n">
        <v>0</v>
      </c>
      <c r="V64" s="31" t="n">
        <v>0.18</v>
      </c>
      <c r="W64" s="31" t="n">
        <v>0</v>
      </c>
      <c r="X64" s="31" t="inlineStr">
        <is>
          <t>--&gt;</t>
        </is>
      </c>
      <c r="Y64" s="31" t="n">
        <v>2</v>
      </c>
      <c r="Z64" s="31" t="inlineStr">
        <is>
          <t>価格帯・420kg+</t>
        </is>
      </c>
    </row>
    <row r="65" ht="15" customHeight="1" s="19">
      <c r="A65" s="31" t="n">
        <v>2020</v>
      </c>
      <c r="B65" s="31" t="n">
        <v>64</v>
      </c>
      <c r="C65" s="31" t="inlineStr">
        <is>
          <t>グランデアモーレの19</t>
        </is>
      </c>
      <c r="D65" s="31" t="inlineStr">
        <is>
          <t>グランデレジーナ (Grande Regina)</t>
        </is>
      </c>
      <c r="E65" s="31" t="inlineStr">
        <is>
          <t>エピファネイア</t>
        </is>
      </c>
      <c r="F65" s="31" t="inlineStr">
        <is>
          <t>メス</t>
        </is>
      </c>
      <c r="G65" s="31" t="n">
        <v>3</v>
      </c>
      <c r="H65" s="31" t="n">
        <v>9</v>
      </c>
      <c r="I65" s="31" t="n">
        <v>3</v>
      </c>
      <c r="J65" s="31" t="n">
        <v>2800</v>
      </c>
      <c r="K65" s="31" t="n">
        <v>460</v>
      </c>
      <c r="L65" s="31" t="n">
        <v>152</v>
      </c>
      <c r="M65" s="31" t="n">
        <v>178</v>
      </c>
      <c r="N65" s="31" t="n">
        <v>19.5</v>
      </c>
      <c r="O65" s="31" t="n">
        <v>400</v>
      </c>
      <c r="P65" s="31" t="inlineStr">
        <is>
          <t>藤岡 健一</t>
        </is>
      </c>
      <c r="Q65" s="31" t="inlineStr">
        <is>
          <t>21戦1勝</t>
        </is>
      </c>
      <c r="R65" s="31" t="n">
        <v>1</v>
      </c>
      <c r="S65" s="31" t="n">
        <v>0</v>
      </c>
      <c r="T65" s="31" t="n">
        <v>850</v>
      </c>
      <c r="U65" s="31" t="n">
        <v>0</v>
      </c>
      <c r="V65" s="31" t="n">
        <v>0.3</v>
      </c>
      <c r="W65" s="31" t="n">
        <v>0</v>
      </c>
      <c r="X65" s="31" t="inlineStr">
        <is>
          <t>21'2歳新馬--&gt;</t>
        </is>
      </c>
      <c r="Y65" s="31" t="n">
        <v>2</v>
      </c>
      <c r="Z65" s="31" t="inlineStr">
        <is>
          <t>価格帯・420kg+</t>
        </is>
      </c>
    </row>
    <row r="66" ht="15" customHeight="1" s="19">
      <c r="A66" s="31" t="n">
        <v>2020</v>
      </c>
      <c r="B66" s="31" t="n">
        <v>65</v>
      </c>
      <c r="C66" s="31" t="inlineStr">
        <is>
          <t>ディアデラノビアの19</t>
        </is>
      </c>
      <c r="D66" s="31" t="inlineStr">
        <is>
          <t>グランディア (Gran Dia)</t>
        </is>
      </c>
      <c r="E66" s="31" t="inlineStr">
        <is>
          <t>ハービンジャー</t>
        </is>
      </c>
      <c r="F66" s="31" t="inlineStr">
        <is>
          <t>牡</t>
        </is>
      </c>
      <c r="G66" s="31" t="n">
        <v>3</v>
      </c>
      <c r="H66" s="31" t="n">
        <v>17</v>
      </c>
      <c r="I66" s="31" t="n">
        <v>11</v>
      </c>
      <c r="J66" s="31" t="n">
        <v>5600</v>
      </c>
      <c r="K66" s="31" t="n">
        <v>426</v>
      </c>
      <c r="L66" s="31" t="n">
        <v>156</v>
      </c>
      <c r="M66" s="31" t="n">
        <v>180</v>
      </c>
      <c r="N66" s="31" t="n">
        <v>20</v>
      </c>
      <c r="O66" s="31" t="n">
        <v>400</v>
      </c>
      <c r="P66" s="31" t="inlineStr">
        <is>
          <t>中内田</t>
        </is>
      </c>
      <c r="Q66" s="31" t="inlineStr">
        <is>
          <t>27戦5勝</t>
        </is>
      </c>
      <c r="R66" s="31" t="n">
        <v>5</v>
      </c>
      <c r="S66" s="31" t="n">
        <v>0</v>
      </c>
      <c r="T66" s="31" t="n">
        <v>17996</v>
      </c>
      <c r="U66" s="31" t="n">
        <v>0</v>
      </c>
      <c r="V66" s="31" t="n">
        <v>3.21</v>
      </c>
      <c r="W66" s="31" t="n">
        <v>1</v>
      </c>
      <c r="X66" s="31" t="inlineStr">
        <is>
          <t>26'新潟大賞典(G3)24'スピカS(3勝クラス)--&gt;</t>
        </is>
      </c>
      <c r="Y66" s="31" t="n">
        <v>2</v>
      </c>
      <c r="Z66" s="31" t="inlineStr">
        <is>
          <t>牡・420kg+</t>
        </is>
      </c>
    </row>
    <row r="67" ht="15" customHeight="1" s="19">
      <c r="A67" s="31" t="n">
        <v>2020</v>
      </c>
      <c r="B67" s="31" t="n">
        <v>66</v>
      </c>
      <c r="C67" s="31" t="inlineStr">
        <is>
          <t>ジュモーの19</t>
        </is>
      </c>
      <c r="D67" s="31" t="inlineStr">
        <is>
          <t>フォアランナー (Forerunner)</t>
        </is>
      </c>
      <c r="E67" s="31" t="inlineStr">
        <is>
          <t>ハービンジャー</t>
        </is>
      </c>
      <c r="F67" s="31" t="inlineStr">
        <is>
          <t>牡</t>
        </is>
      </c>
      <c r="G67" s="31" t="n">
        <v>3</v>
      </c>
      <c r="H67" s="31" t="n">
        <v>13</v>
      </c>
      <c r="I67" s="31" t="n">
        <v>7</v>
      </c>
      <c r="J67" s="31" t="n">
        <v>5000</v>
      </c>
      <c r="K67" s="31" t="n">
        <v>482</v>
      </c>
      <c r="L67" s="31" t="n">
        <v>158</v>
      </c>
      <c r="M67" s="31" t="n">
        <v>176</v>
      </c>
      <c r="N67" s="31" t="n">
        <v>21</v>
      </c>
      <c r="O67" s="31" t="n">
        <v>400</v>
      </c>
      <c r="P67" s="31" t="inlineStr">
        <is>
          <t>西村</t>
        </is>
      </c>
      <c r="Q67" s="31" t="inlineStr">
        <is>
          <t>29戦2勝</t>
        </is>
      </c>
      <c r="R67" s="31" t="n">
        <v>0</v>
      </c>
      <c r="S67" s="31" t="n">
        <v>2</v>
      </c>
      <c r="T67" s="31" t="n">
        <v>450</v>
      </c>
      <c r="U67" s="31" t="n">
        <v>164</v>
      </c>
      <c r="V67" s="31" t="n">
        <v>0.12</v>
      </c>
      <c r="W67" s="31" t="n">
        <v>0</v>
      </c>
      <c r="X67" s="31" t="inlineStr">
        <is>
          <t>かもみちゃん生誕特別チャレンジシリーズ--&gt;</t>
        </is>
      </c>
      <c r="Y67" s="31" t="n">
        <v>2</v>
      </c>
      <c r="Z67" s="31" t="inlineStr">
        <is>
          <t>牡・420kg+</t>
        </is>
      </c>
    </row>
    <row r="68" ht="15" customHeight="1" s="19">
      <c r="A68" s="31" t="n">
        <v>2020</v>
      </c>
      <c r="B68" s="31" t="n">
        <v>67</v>
      </c>
      <c r="C68" s="31" t="inlineStr">
        <is>
          <t>サンブルエミューズの19</t>
        </is>
      </c>
      <c r="D68" s="31" t="inlineStr">
        <is>
          <t>ナミュール (Namur)</t>
        </is>
      </c>
      <c r="E68" s="31" t="inlineStr">
        <is>
          <t>ハービンジャー</t>
        </is>
      </c>
      <c r="F68" s="31" t="inlineStr">
        <is>
          <t>メス</t>
        </is>
      </c>
      <c r="G68" s="31" t="n">
        <v>3</v>
      </c>
      <c r="H68" s="31" t="n">
        <v>9</v>
      </c>
      <c r="I68" s="31" t="n">
        <v>3</v>
      </c>
      <c r="J68" s="31" t="n">
        <v>2600</v>
      </c>
      <c r="K68" s="31" t="n">
        <v>424</v>
      </c>
      <c r="L68" s="31" t="n">
        <v>157</v>
      </c>
      <c r="M68" s="31" t="n">
        <v>176</v>
      </c>
      <c r="N68" s="31" t="n">
        <v>19.5</v>
      </c>
      <c r="O68" s="31" t="n">
        <v>400</v>
      </c>
      <c r="P68" s="31" t="inlineStr">
        <is>
          <t>高野</t>
        </is>
      </c>
      <c r="Q68" s="31" t="inlineStr">
        <is>
          <t>18戦5勝</t>
        </is>
      </c>
      <c r="R68" s="31" t="n">
        <v>5</v>
      </c>
      <c r="S68" s="31" t="n">
        <v>0</v>
      </c>
      <c r="T68" s="31" t="n">
        <v>50963</v>
      </c>
      <c r="U68" s="31" t="n">
        <v>0</v>
      </c>
      <c r="V68" s="31" t="n">
        <v>19.6</v>
      </c>
      <c r="W68" s="31" t="n">
        <v>1</v>
      </c>
      <c r="X68" s="31" t="inlineStr">
        <is>
          <t>23'マイルCS(G1)23'富士S(G2)--&gt;</t>
        </is>
      </c>
      <c r="Y68" s="31" t="n">
        <v>2</v>
      </c>
      <c r="Z68" s="31" t="inlineStr">
        <is>
          <t>価格帯・420kg+</t>
        </is>
      </c>
    </row>
    <row r="69" ht="15" customHeight="1" s="19">
      <c r="A69" s="31" t="n">
        <v>2020</v>
      </c>
      <c r="B69" s="31" t="n">
        <v>68</v>
      </c>
      <c r="C69" s="31" t="inlineStr">
        <is>
          <t>シャルールの19</t>
        </is>
      </c>
      <c r="D69" s="31" t="inlineStr">
        <is>
          <t>トランキリテ (Tranquillite)</t>
        </is>
      </c>
      <c r="E69" s="31" t="inlineStr">
        <is>
          <t>ルーラーシップ</t>
        </is>
      </c>
      <c r="F69" s="31" t="inlineStr">
        <is>
          <t>牡</t>
        </is>
      </c>
      <c r="G69" s="31" t="n">
        <v>3</v>
      </c>
      <c r="H69" s="31" t="n">
        <v>7</v>
      </c>
      <c r="I69" s="31" t="n">
        <v>1</v>
      </c>
      <c r="J69" s="31" t="n">
        <v>3000</v>
      </c>
      <c r="K69" s="31" t="n">
        <v>405</v>
      </c>
      <c r="L69" s="31" t="n">
        <v>148</v>
      </c>
      <c r="M69" s="31" t="n">
        <v>169</v>
      </c>
      <c r="N69" s="31" t="n">
        <v>20</v>
      </c>
      <c r="O69" s="31" t="n">
        <v>400</v>
      </c>
      <c r="P69" s="31" t="inlineStr">
        <is>
          <t>松永 幹夫</t>
        </is>
      </c>
      <c r="Q69" s="31" t="inlineStr">
        <is>
          <t>29戦4勝</t>
        </is>
      </c>
      <c r="R69" s="31" t="n">
        <v>4</v>
      </c>
      <c r="S69" s="31" t="n">
        <v>0</v>
      </c>
      <c r="T69" s="31" t="n">
        <v>9897</v>
      </c>
      <c r="U69" s="31" t="n">
        <v>0</v>
      </c>
      <c r="V69" s="31" t="n">
        <v>3.3</v>
      </c>
      <c r="W69" s="31" t="n">
        <v>0</v>
      </c>
      <c r="X69" s="31" t="inlineStr">
        <is>
          <t>24'石清水S(3勝クラス)23'4歳以上2勝クラス--&gt;</t>
        </is>
      </c>
      <c r="Y69" s="31" t="n">
        <v>2</v>
      </c>
      <c r="Z69" s="31" t="inlineStr">
        <is>
          <t>牡・価格帯</t>
        </is>
      </c>
    </row>
    <row r="70" ht="15" customHeight="1" s="19">
      <c r="A70" s="31" t="n">
        <v>2020</v>
      </c>
      <c r="B70" s="31" t="n">
        <v>69</v>
      </c>
      <c r="C70" s="31" t="inlineStr">
        <is>
          <t>ベルディーヴァの19</t>
        </is>
      </c>
      <c r="D70" s="31" t="inlineStr">
        <is>
          <t>ベルシャンテ (Belle Chanter)</t>
        </is>
      </c>
      <c r="E70" s="31" t="inlineStr">
        <is>
          <t>ルーラーシップ</t>
        </is>
      </c>
      <c r="F70" s="31" t="inlineStr">
        <is>
          <t>メス</t>
        </is>
      </c>
      <c r="G70" s="31" t="n">
        <v>2</v>
      </c>
      <c r="H70" s="31" t="n">
        <v>7</v>
      </c>
      <c r="I70" s="31" t="n">
        <v>1</v>
      </c>
      <c r="J70" s="31" t="n">
        <v>2400</v>
      </c>
      <c r="K70" s="31" t="n">
        <v>426</v>
      </c>
      <c r="L70" s="31" t="n">
        <v>152</v>
      </c>
      <c r="M70" s="31" t="n">
        <v>175</v>
      </c>
      <c r="N70" s="31" t="n">
        <v>20</v>
      </c>
      <c r="O70" s="31" t="n">
        <v>400</v>
      </c>
      <c r="P70" s="31" t="inlineStr">
        <is>
          <t>奥村 豊</t>
        </is>
      </c>
      <c r="Q70" s="31" t="inlineStr">
        <is>
          <t>11戦0勝</t>
        </is>
      </c>
      <c r="R70" s="31" t="n">
        <v>0</v>
      </c>
      <c r="S70" s="31" t="n">
        <v>0</v>
      </c>
      <c r="T70" s="31" t="n">
        <v>698</v>
      </c>
      <c r="U70" s="31" t="n">
        <v>0</v>
      </c>
      <c r="V70" s="31" t="n">
        <v>0.29</v>
      </c>
      <c r="W70" s="31" t="n">
        <v>0</v>
      </c>
      <c r="X70" s="31" t="inlineStr">
        <is>
          <t>--&gt;</t>
        </is>
      </c>
      <c r="Y70" s="31" t="n">
        <v>1</v>
      </c>
      <c r="Z70" s="31" t="inlineStr">
        <is>
          <t>420kg+</t>
        </is>
      </c>
    </row>
    <row r="71" ht="15" customHeight="1" s="19">
      <c r="A71" s="31" t="n">
        <v>2020</v>
      </c>
      <c r="B71" s="31" t="n">
        <v>70</v>
      </c>
      <c r="C71" s="31" t="inlineStr">
        <is>
          <t>アスティルの19</t>
        </is>
      </c>
      <c r="D71" s="31" t="inlineStr">
        <is>
          <t>シエルエトワール (Ciel Etoile)</t>
        </is>
      </c>
      <c r="E71" s="31" t="inlineStr">
        <is>
          <t>ルーラーシップ</t>
        </is>
      </c>
      <c r="F71" s="31" t="inlineStr">
        <is>
          <t>メス</t>
        </is>
      </c>
      <c r="G71" s="31" t="n">
        <v>5</v>
      </c>
      <c r="H71" s="31" t="n">
        <v>5</v>
      </c>
      <c r="I71" s="31" t="n">
        <v>1</v>
      </c>
      <c r="J71" s="31" t="n">
        <v>1800</v>
      </c>
      <c r="K71" s="31" t="n">
        <v>386</v>
      </c>
      <c r="L71" s="31" t="n">
        <v>150</v>
      </c>
      <c r="M71" s="31" t="n">
        <v>168.5</v>
      </c>
      <c r="N71" s="31" t="n">
        <v>19.2</v>
      </c>
      <c r="O71" s="31" t="n">
        <v>400</v>
      </c>
      <c r="P71" s="31" t="inlineStr">
        <is>
          <t>高柳 大輔</t>
        </is>
      </c>
      <c r="Q71" s="31" t="inlineStr">
        <is>
          <t>30戦0勝</t>
        </is>
      </c>
      <c r="R71" s="31" t="n">
        <v>0</v>
      </c>
      <c r="S71" s="31" t="n">
        <v>0</v>
      </c>
      <c r="T71" s="31" t="n">
        <v>0</v>
      </c>
      <c r="U71" s="31" t="n">
        <v>31</v>
      </c>
      <c r="V71" s="31" t="n">
        <v>0.02</v>
      </c>
      <c r="W71" s="31" t="n">
        <v>0</v>
      </c>
      <c r="X71" s="31" t="inlineStr">
        <is>
          <t>--&gt;</t>
        </is>
      </c>
      <c r="Y71" s="31" t="n">
        <v>0</v>
      </c>
      <c r="Z71" s="31" t="inlineStr"/>
    </row>
    <row r="72" ht="15" customHeight="1" s="19">
      <c r="A72" s="31" t="n">
        <v>2020</v>
      </c>
      <c r="B72" s="31" t="n">
        <v>71</v>
      </c>
      <c r="C72" s="31" t="inlineStr">
        <is>
          <t>リュシオルの19</t>
        </is>
      </c>
      <c r="D72" s="31" t="inlineStr">
        <is>
          <t>グリューヴルム (Gluhwurm)</t>
        </is>
      </c>
      <c r="E72" s="31" t="inlineStr">
        <is>
          <t>キズナ</t>
        </is>
      </c>
      <c r="F72" s="31" t="inlineStr">
        <is>
          <t>牡</t>
        </is>
      </c>
      <c r="G72" s="31" t="n">
        <v>3</v>
      </c>
      <c r="H72" s="31" t="n">
        <v>13</v>
      </c>
      <c r="I72" s="31" t="n">
        <v>6</v>
      </c>
      <c r="J72" s="31" t="n">
        <v>3000</v>
      </c>
      <c r="K72" s="31" t="n">
        <v>445</v>
      </c>
      <c r="L72" s="31" t="n">
        <v>157.5</v>
      </c>
      <c r="M72" s="31" t="n">
        <v>177</v>
      </c>
      <c r="N72" s="31" t="n">
        <v>20.7</v>
      </c>
      <c r="O72" s="31" t="n">
        <v>400</v>
      </c>
      <c r="P72" s="31" t="inlineStr">
        <is>
          <t>大久保 龍志</t>
        </is>
      </c>
      <c r="Q72" s="31" t="inlineStr">
        <is>
          <t>26戦7勝</t>
        </is>
      </c>
      <c r="R72" s="31" t="n">
        <v>4</v>
      </c>
      <c r="S72" s="31" t="n">
        <v>3</v>
      </c>
      <c r="T72" s="31" t="n">
        <v>7248</v>
      </c>
      <c r="U72" s="31" t="n">
        <v>5508</v>
      </c>
      <c r="V72" s="31" t="n">
        <v>4.25</v>
      </c>
      <c r="W72" s="31" t="n">
        <v>0</v>
      </c>
      <c r="X72" s="31" t="inlineStr">
        <is>
          <t>26'金盃(G)25'東京記念トライアル(OP)--&gt;</t>
        </is>
      </c>
      <c r="Y72" s="31" t="n">
        <v>3</v>
      </c>
      <c r="Z72" s="31" t="inlineStr">
        <is>
          <t>牡・価格帯・420kg+</t>
        </is>
      </c>
    </row>
    <row r="73" ht="15" customHeight="1" s="19">
      <c r="A73" s="31" t="n">
        <v>2020</v>
      </c>
      <c r="B73" s="31" t="n">
        <v>72</v>
      </c>
      <c r="C73" s="31" t="inlineStr">
        <is>
          <t>クリソプレーズの19</t>
        </is>
      </c>
      <c r="D73" s="31" t="inlineStr">
        <is>
          <t>クリソプレーズの2019</t>
        </is>
      </c>
      <c r="E73" s="31" t="inlineStr">
        <is>
          <t>キタサンブラック</t>
        </is>
      </c>
      <c r="F73" s="31" t="inlineStr">
        <is>
          <t>牡</t>
        </is>
      </c>
      <c r="G73" s="31" t="n">
        <v>5</v>
      </c>
      <c r="H73" s="31" t="n">
        <v>17</v>
      </c>
      <c r="I73" s="31" t="n">
        <v>9</v>
      </c>
      <c r="J73" s="31" t="n">
        <v>5000</v>
      </c>
      <c r="K73" s="31" t="n">
        <v>439</v>
      </c>
      <c r="L73" s="31" t="n">
        <v>160</v>
      </c>
      <c r="M73" s="31" t="n">
        <v>174</v>
      </c>
      <c r="N73" s="31" t="n">
        <v>21.6</v>
      </c>
      <c r="O73" s="31" t="n">
        <v>400</v>
      </c>
      <c r="P73" s="31" t="inlineStr">
        <is>
          <t>音無</t>
        </is>
      </c>
      <c r="Q73" s="31" t="inlineStr">
        <is>
          <t>0戦0勝</t>
        </is>
      </c>
      <c r="R73" s="31" t="n">
        <v>0</v>
      </c>
      <c r="S73" s="31" t="n">
        <v>0</v>
      </c>
      <c r="T73" s="31" t="n">
        <v>0</v>
      </c>
      <c r="U73" s="31" t="n">
        <v>0</v>
      </c>
      <c r="V73" s="31" t="n">
        <v>0</v>
      </c>
      <c r="W73" s="31" t="n">
        <v>0</v>
      </c>
      <c r="X73" s="31" t="inlineStr">
        <is>
          <t>--&gt;</t>
        </is>
      </c>
      <c r="Y73" s="31" t="n">
        <v>2</v>
      </c>
      <c r="Z73" s="31" t="inlineStr">
        <is>
          <t>牡・420kg+</t>
        </is>
      </c>
    </row>
    <row r="74" ht="15" customHeight="1" s="19">
      <c r="A74" s="31" t="n">
        <v>2020</v>
      </c>
      <c r="B74" s="31" t="n">
        <v>73</v>
      </c>
      <c r="C74" s="31" t="inlineStr">
        <is>
          <t>ワナダンスの19</t>
        </is>
      </c>
      <c r="D74" s="31" t="inlineStr">
        <is>
          <t>コルティーナ (Cortina)</t>
        </is>
      </c>
      <c r="E74" s="31" t="inlineStr">
        <is>
          <t>キタサンブラック</t>
        </is>
      </c>
      <c r="F74" s="31" t="inlineStr">
        <is>
          <t>メス</t>
        </is>
      </c>
      <c r="G74" s="31" t="n">
        <v>1</v>
      </c>
      <c r="H74" s="31" t="n">
        <v>9</v>
      </c>
      <c r="I74" s="31" t="n">
        <v>5</v>
      </c>
      <c r="J74" s="31" t="n">
        <v>1800</v>
      </c>
      <c r="K74" s="31" t="n">
        <v>488</v>
      </c>
      <c r="L74" s="31" t="n">
        <v>158</v>
      </c>
      <c r="M74" s="31" t="n">
        <v>177.5</v>
      </c>
      <c r="N74" s="31" t="n">
        <v>20.6</v>
      </c>
      <c r="O74" s="31" t="n">
        <v>400</v>
      </c>
      <c r="P74" s="31" t="inlineStr">
        <is>
          <t>橋口 慎介</t>
        </is>
      </c>
      <c r="Q74" s="31" t="inlineStr">
        <is>
          <t>8戦0勝</t>
        </is>
      </c>
      <c r="R74" s="31" t="n">
        <v>0</v>
      </c>
      <c r="S74" s="31" t="n">
        <v>0</v>
      </c>
      <c r="T74" s="31" t="n">
        <v>277</v>
      </c>
      <c r="U74" s="31" t="n">
        <v>0</v>
      </c>
      <c r="V74" s="31" t="n">
        <v>0.15</v>
      </c>
      <c r="W74" s="31" t="n">
        <v>0</v>
      </c>
      <c r="X74" s="31" t="inlineStr">
        <is>
          <t>--&gt;</t>
        </is>
      </c>
      <c r="Y74" s="31" t="n">
        <v>1</v>
      </c>
      <c r="Z74" s="31" t="inlineStr">
        <is>
          <t>420kg+</t>
        </is>
      </c>
    </row>
    <row r="75" ht="15" customHeight="1" s="19">
      <c r="A75" s="31" t="n">
        <v>2020</v>
      </c>
      <c r="B75" s="31" t="n">
        <v>74</v>
      </c>
      <c r="C75" s="31" t="inlineStr">
        <is>
          <t>レオパルディナの19</t>
        </is>
      </c>
      <c r="D75" s="31" t="inlineStr">
        <is>
          <t>ジャグアーロ (Giaguaro)</t>
        </is>
      </c>
      <c r="E75" s="31" t="inlineStr">
        <is>
          <t>キンシャサノキセキ</t>
        </is>
      </c>
      <c r="F75" s="31" t="inlineStr">
        <is>
          <t>牡</t>
        </is>
      </c>
      <c r="G75" s="31" t="n">
        <v>2</v>
      </c>
      <c r="H75" s="31" t="n">
        <v>7</v>
      </c>
      <c r="I75" s="31" t="n">
        <v>1</v>
      </c>
      <c r="J75" s="31" t="n">
        <v>2000</v>
      </c>
      <c r="K75" s="31" t="n">
        <v>401</v>
      </c>
      <c r="L75" s="31" t="n">
        <v>153</v>
      </c>
      <c r="M75" s="31" t="n">
        <v>167</v>
      </c>
      <c r="N75" s="31" t="n">
        <v>20</v>
      </c>
      <c r="O75" s="31" t="n">
        <v>400</v>
      </c>
      <c r="P75" s="31" t="inlineStr">
        <is>
          <t>杉山</t>
        </is>
      </c>
      <c r="Q75" s="31" t="inlineStr">
        <is>
          <t>4戦0勝</t>
        </is>
      </c>
      <c r="R75" s="31" t="n">
        <v>0</v>
      </c>
      <c r="S75" s="31" t="n">
        <v>0</v>
      </c>
      <c r="T75" s="31" t="n">
        <v>0</v>
      </c>
      <c r="U75" s="31" t="n">
        <v>0</v>
      </c>
      <c r="V75" s="31" t="n">
        <v>0</v>
      </c>
      <c r="W75" s="31" t="n">
        <v>0</v>
      </c>
      <c r="X75" s="31" t="inlineStr">
        <is>
          <t>--&gt;</t>
        </is>
      </c>
      <c r="Y75" s="31" t="n">
        <v>1</v>
      </c>
      <c r="Z75" s="31" t="inlineStr">
        <is>
          <t>牡</t>
        </is>
      </c>
    </row>
    <row r="76" ht="15" customHeight="1" s="19">
      <c r="A76" s="31" t="n">
        <v>2020</v>
      </c>
      <c r="B76" s="31" t="n">
        <v>75</v>
      </c>
      <c r="C76" s="31" t="inlineStr">
        <is>
          <t>カイカヨソウの19</t>
        </is>
      </c>
      <c r="D76" s="31" t="inlineStr">
        <is>
          <t>カイカノキセキ (Kaikano Kiseki)</t>
        </is>
      </c>
      <c r="E76" s="31" t="inlineStr">
        <is>
          <t>キンシャサノキセキ</t>
        </is>
      </c>
      <c r="F76" s="31" t="inlineStr">
        <is>
          <t>メス</t>
        </is>
      </c>
      <c r="G76" s="31" t="n">
        <v>2</v>
      </c>
      <c r="H76" s="31" t="n">
        <v>9</v>
      </c>
      <c r="I76" s="31" t="n">
        <v>2</v>
      </c>
      <c r="J76" s="31" t="n">
        <v>2000</v>
      </c>
      <c r="K76" s="31" t="n">
        <v>487</v>
      </c>
      <c r="L76" s="31" t="n">
        <v>155</v>
      </c>
      <c r="M76" s="31" t="n">
        <v>181</v>
      </c>
      <c r="N76" s="31" t="n">
        <v>20.2</v>
      </c>
      <c r="O76" s="31" t="n">
        <v>400</v>
      </c>
      <c r="P76" s="31" t="inlineStr">
        <is>
          <t>池添 学</t>
        </is>
      </c>
      <c r="Q76" s="31" t="inlineStr">
        <is>
          <t>25戦1勝</t>
        </is>
      </c>
      <c r="R76" s="31" t="n">
        <v>1</v>
      </c>
      <c r="S76" s="31" t="n">
        <v>0</v>
      </c>
      <c r="T76" s="31" t="n">
        <v>4523</v>
      </c>
      <c r="U76" s="31" t="n">
        <v>0</v>
      </c>
      <c r="V76" s="31" t="n">
        <v>2.26</v>
      </c>
      <c r="W76" s="31" t="n">
        <v>0</v>
      </c>
      <c r="X76" s="31" t="inlineStr">
        <is>
          <t>21'2歳新馬--&gt;</t>
        </is>
      </c>
      <c r="Y76" s="31" t="n">
        <v>1</v>
      </c>
      <c r="Z76" s="31" t="inlineStr">
        <is>
          <t>420kg+</t>
        </is>
      </c>
    </row>
    <row r="77" ht="15" customHeight="1" s="19">
      <c r="A77" s="31" t="n">
        <v>2020</v>
      </c>
      <c r="B77" s="31" t="n">
        <v>76</v>
      </c>
      <c r="C77" s="31" t="inlineStr">
        <is>
          <t>カニョットの19</t>
        </is>
      </c>
      <c r="D77" s="31" t="inlineStr">
        <is>
          <t>セレステイブランコ (Celeste y Blanco)</t>
        </is>
      </c>
      <c r="E77" s="31" t="inlineStr">
        <is>
          <t>ディープブリランテ</t>
        </is>
      </c>
      <c r="F77" s="31" t="inlineStr">
        <is>
          <t>牡</t>
        </is>
      </c>
      <c r="G77" s="31" t="n">
        <v>2</v>
      </c>
      <c r="H77" s="31" t="n">
        <v>14</v>
      </c>
      <c r="I77" s="31" t="n">
        <v>7</v>
      </c>
      <c r="J77" s="31" t="n">
        <v>1800</v>
      </c>
      <c r="K77" s="31" t="n">
        <v>460</v>
      </c>
      <c r="L77" s="31" t="n">
        <v>156</v>
      </c>
      <c r="M77" s="31" t="n">
        <v>175</v>
      </c>
      <c r="N77" s="31" t="n">
        <v>20.4</v>
      </c>
      <c r="O77" s="31" t="n">
        <v>400</v>
      </c>
      <c r="P77" s="31" t="inlineStr">
        <is>
          <t>渡辺 薫彦</t>
        </is>
      </c>
      <c r="Q77" s="31" t="inlineStr">
        <is>
          <t>4戦0勝</t>
        </is>
      </c>
      <c r="R77" s="31" t="n">
        <v>0</v>
      </c>
      <c r="S77" s="31" t="n">
        <v>0</v>
      </c>
      <c r="T77" s="31" t="n">
        <v>0</v>
      </c>
      <c r="U77" s="31" t="n">
        <v>0</v>
      </c>
      <c r="V77" s="31" t="n">
        <v>0</v>
      </c>
      <c r="W77" s="31" t="n">
        <v>0</v>
      </c>
      <c r="X77" s="31" t="inlineStr">
        <is>
          <t>--&gt;</t>
        </is>
      </c>
      <c r="Y77" s="31" t="n">
        <v>2</v>
      </c>
      <c r="Z77" s="31" t="inlineStr">
        <is>
          <t>牡・420kg+</t>
        </is>
      </c>
    </row>
    <row r="78" ht="15" customHeight="1" s="19">
      <c r="A78" s="31" t="n">
        <v>2020</v>
      </c>
      <c r="B78" s="31" t="n">
        <v>77</v>
      </c>
      <c r="C78" s="31" t="inlineStr">
        <is>
          <t>シンハディーパの19</t>
        </is>
      </c>
      <c r="D78" s="31" t="inlineStr">
        <is>
          <t>シンハプーラ (Simha Pura)</t>
        </is>
      </c>
      <c r="E78" s="31" t="inlineStr">
        <is>
          <t>ディープブリランテ</t>
        </is>
      </c>
      <c r="F78" s="31" t="inlineStr">
        <is>
          <t>メス</t>
        </is>
      </c>
      <c r="G78" s="31" t="n">
        <v>3</v>
      </c>
      <c r="H78" s="31" t="n">
        <v>9</v>
      </c>
      <c r="I78" s="31" t="n">
        <v>4</v>
      </c>
      <c r="J78" s="31" t="n">
        <v>2000</v>
      </c>
      <c r="K78" s="31" t="n">
        <v>403</v>
      </c>
      <c r="L78" s="31" t="n">
        <v>153</v>
      </c>
      <c r="M78" s="31" t="n">
        <v>169</v>
      </c>
      <c r="N78" s="31" t="n">
        <v>20</v>
      </c>
      <c r="O78" s="31" t="n">
        <v>400</v>
      </c>
      <c r="P78" s="31" t="inlineStr">
        <is>
          <t>高野</t>
        </is>
      </c>
      <c r="Q78" s="31" t="inlineStr">
        <is>
          <t>1戦0勝</t>
        </is>
      </c>
      <c r="R78" s="31" t="n">
        <v>0</v>
      </c>
      <c r="S78" s="31" t="n">
        <v>0</v>
      </c>
      <c r="T78" s="31" t="n">
        <v>0</v>
      </c>
      <c r="U78" s="31" t="n">
        <v>0</v>
      </c>
      <c r="V78" s="31" t="n">
        <v>0</v>
      </c>
      <c r="W78" s="31" t="n">
        <v>0</v>
      </c>
      <c r="X78" s="31" t="inlineStr">
        <is>
          <t>--&gt;</t>
        </is>
      </c>
      <c r="Y78" s="31" t="n">
        <v>0</v>
      </c>
      <c r="Z78" s="31" t="inlineStr"/>
    </row>
    <row r="79" ht="15" customHeight="1" s="19">
      <c r="A79" s="31" t="n">
        <v>2020</v>
      </c>
      <c r="B79" s="31" t="n">
        <v>78</v>
      </c>
      <c r="C79" s="31" t="inlineStr">
        <is>
          <t>プリンセスカメリアの19</t>
        </is>
      </c>
      <c r="D79" s="31" t="inlineStr">
        <is>
          <t>リゴレット (Rigoletto)</t>
        </is>
      </c>
      <c r="E79" s="31" t="inlineStr">
        <is>
          <t>ドレフォン</t>
        </is>
      </c>
      <c r="F79" s="31" t="inlineStr">
        <is>
          <t>メス</t>
        </is>
      </c>
      <c r="G79" s="31" t="n">
        <v>2</v>
      </c>
      <c r="H79" s="31" t="n">
        <v>18</v>
      </c>
      <c r="I79" s="31" t="n">
        <v>9</v>
      </c>
      <c r="J79" s="31" t="n">
        <v>2400</v>
      </c>
      <c r="K79" s="31" t="n">
        <v>435</v>
      </c>
      <c r="L79" s="31" t="n">
        <v>153</v>
      </c>
      <c r="M79" s="31" t="n">
        <v>180</v>
      </c>
      <c r="N79" s="31" t="n">
        <v>19</v>
      </c>
      <c r="O79" s="31" t="n">
        <v>400</v>
      </c>
      <c r="P79" s="31" t="inlineStr">
        <is>
          <t>羽月</t>
        </is>
      </c>
      <c r="Q79" s="31" t="inlineStr">
        <is>
          <t>21戦1勝</t>
        </is>
      </c>
      <c r="R79" s="31" t="n">
        <v>1</v>
      </c>
      <c r="S79" s="31" t="n">
        <v>0</v>
      </c>
      <c r="T79" s="31" t="n">
        <v>1487</v>
      </c>
      <c r="U79" s="31" t="n">
        <v>0</v>
      </c>
      <c r="V79" s="31" t="n">
        <v>0.62</v>
      </c>
      <c r="W79" s="31" t="n">
        <v>0</v>
      </c>
      <c r="X79" s="31" t="inlineStr">
        <is>
          <t>22'3歳未勝利--&gt;</t>
        </is>
      </c>
      <c r="Y79" s="31" t="n">
        <v>1</v>
      </c>
      <c r="Z79" s="31" t="inlineStr">
        <is>
          <t>420kg+</t>
        </is>
      </c>
    </row>
    <row r="80" ht="15" customHeight="1" s="19">
      <c r="A80" s="31" t="n">
        <v>2020</v>
      </c>
      <c r="B80" s="31" t="n">
        <v>79</v>
      </c>
      <c r="C80" s="31" t="inlineStr">
        <is>
          <t>ブリトマルティスの19</t>
        </is>
      </c>
      <c r="D80" s="31" t="inlineStr">
        <is>
          <t>ラブリュス (Labrys)</t>
        </is>
      </c>
      <c r="E80" s="31" t="inlineStr">
        <is>
          <t>アジアエクスプレス</t>
        </is>
      </c>
      <c r="F80" s="31" t="inlineStr">
        <is>
          <t>牡</t>
        </is>
      </c>
      <c r="G80" s="31" t="n">
        <v>3</v>
      </c>
      <c r="H80" s="31" t="n">
        <v>15</v>
      </c>
      <c r="I80" s="31" t="n">
        <v>6</v>
      </c>
      <c r="J80" s="31" t="n">
        <v>1600</v>
      </c>
      <c r="K80" s="31" t="n">
        <v>450</v>
      </c>
      <c r="L80" s="31" t="n">
        <v>155</v>
      </c>
      <c r="M80" s="31" t="n">
        <v>172</v>
      </c>
      <c r="N80" s="31" t="n">
        <v>20</v>
      </c>
      <c r="O80" s="31" t="n">
        <v>400</v>
      </c>
      <c r="P80" s="31" t="inlineStr">
        <is>
          <t>寺島</t>
        </is>
      </c>
      <c r="Q80" s="31" t="inlineStr">
        <is>
          <t>14戦1勝</t>
        </is>
      </c>
      <c r="R80" s="31" t="n">
        <v>1</v>
      </c>
      <c r="S80" s="31" t="n">
        <v>0</v>
      </c>
      <c r="T80" s="31" t="n">
        <v>612</v>
      </c>
      <c r="U80" s="31" t="n">
        <v>7</v>
      </c>
      <c r="V80" s="31" t="n">
        <v>0.39</v>
      </c>
      <c r="W80" s="31" t="n">
        <v>0</v>
      </c>
      <c r="X80" s="31" t="inlineStr">
        <is>
          <t>21'2歳未勝利--&gt;</t>
        </is>
      </c>
      <c r="Y80" s="31" t="n">
        <v>2</v>
      </c>
      <c r="Z80" s="31" t="inlineStr">
        <is>
          <t>牡・420kg+</t>
        </is>
      </c>
    </row>
    <row r="81" ht="15" customHeight="1" s="19">
      <c r="A81" s="31" t="n">
        <v>2020</v>
      </c>
      <c r="B81" s="31" t="n">
        <v>80</v>
      </c>
      <c r="C81" s="31" t="inlineStr">
        <is>
          <t>ラフォルジュルネの19</t>
        </is>
      </c>
      <c r="D81" s="31" t="inlineStr">
        <is>
          <t>カルネドボヤージュ (Carnets de Voyage)</t>
        </is>
      </c>
      <c r="E81" s="31" t="inlineStr">
        <is>
          <t>エイシンフラッシュ</t>
        </is>
      </c>
      <c r="F81" s="31" t="inlineStr">
        <is>
          <t>牡</t>
        </is>
      </c>
      <c r="G81" s="31" t="n">
        <v>3</v>
      </c>
      <c r="H81" s="31" t="n">
        <v>12</v>
      </c>
      <c r="I81" s="31" t="n">
        <v>4</v>
      </c>
      <c r="J81" s="31" t="n">
        <v>2000</v>
      </c>
      <c r="K81" s="31" t="n">
        <v>467</v>
      </c>
      <c r="L81" s="31" t="n">
        <v>157.5</v>
      </c>
      <c r="M81" s="31" t="n">
        <v>177</v>
      </c>
      <c r="N81" s="31" t="n">
        <v>21</v>
      </c>
      <c r="O81" s="31" t="n">
        <v>400</v>
      </c>
      <c r="P81" s="31" t="inlineStr">
        <is>
          <t>杉山</t>
        </is>
      </c>
      <c r="Q81" s="31" t="inlineStr">
        <is>
          <t>14戦1勝</t>
        </is>
      </c>
      <c r="R81" s="31" t="n">
        <v>0</v>
      </c>
      <c r="S81" s="31" t="n">
        <v>1</v>
      </c>
      <c r="T81" s="31" t="n">
        <v>70</v>
      </c>
      <c r="U81" s="31" t="n">
        <v>51</v>
      </c>
      <c r="V81" s="31" t="n">
        <v>0.06</v>
      </c>
      <c r="W81" s="31" t="n">
        <v>0</v>
      </c>
      <c r="X81" s="31" t="inlineStr">
        <is>
          <t>3歳以上C4ー3--&gt;</t>
        </is>
      </c>
      <c r="Y81" s="31" t="n">
        <v>2</v>
      </c>
      <c r="Z81" s="31" t="inlineStr">
        <is>
          <t>牡・420kg+</t>
        </is>
      </c>
    </row>
    <row r="82" ht="15" customHeight="1" s="19">
      <c r="A82" s="31" t="n">
        <v>2020</v>
      </c>
      <c r="B82" s="31" t="n">
        <v>81</v>
      </c>
      <c r="C82" s="31" t="inlineStr">
        <is>
          <t>レインボーソングの19</t>
        </is>
      </c>
      <c r="D82" s="31" t="inlineStr"/>
      <c r="E82" s="31" t="inlineStr">
        <is>
          <t>サトノアラジン</t>
        </is>
      </c>
      <c r="F82" s="31" t="inlineStr">
        <is>
          <t>メス</t>
        </is>
      </c>
      <c r="G82" s="31" t="n">
        <v>3</v>
      </c>
      <c r="H82" s="31" t="n">
        <v>7</v>
      </c>
      <c r="I82" s="31" t="n">
        <v>1</v>
      </c>
      <c r="J82" s="31" t="n">
        <v>1200</v>
      </c>
      <c r="K82" s="31" t="n">
        <v>401</v>
      </c>
      <c r="L82" s="31" t="n">
        <v>157</v>
      </c>
      <c r="M82" s="31" t="n">
        <v>171</v>
      </c>
      <c r="N82" s="31" t="n">
        <v>20</v>
      </c>
      <c r="O82" s="31" t="n">
        <v>400</v>
      </c>
      <c r="P82" s="31" t="inlineStr">
        <is>
          <t>牧田</t>
        </is>
      </c>
      <c r="Q82" s="31" t="inlineStr"/>
      <c r="R82" s="31" t="n"/>
      <c r="S82" s="31" t="n"/>
      <c r="T82" s="31" t="n"/>
      <c r="U82" s="31" t="n"/>
      <c r="V82" s="31" t="n">
        <v>0</v>
      </c>
      <c r="W82" s="31" t="n">
        <v>0</v>
      </c>
      <c r="X82" s="31" t="inlineStr"/>
      <c r="Y82" s="31" t="n">
        <v>0</v>
      </c>
      <c r="Z82" s="31" t="inlineStr"/>
    </row>
    <row r="83" ht="15" customHeight="1" s="19">
      <c r="A83" s="31" t="n">
        <v>2020</v>
      </c>
      <c r="B83" s="31" t="n">
        <v>82</v>
      </c>
      <c r="C83" s="31" t="inlineStr">
        <is>
          <t>コンヴィクションⅡの19</t>
        </is>
      </c>
      <c r="D83" s="31" t="inlineStr">
        <is>
          <t>クレエンシア (Creencia)</t>
        </is>
      </c>
      <c r="E83" s="31" t="inlineStr">
        <is>
          <t>ジャスタウェイ</t>
        </is>
      </c>
      <c r="F83" s="31" t="inlineStr">
        <is>
          <t>メス</t>
        </is>
      </c>
      <c r="G83" s="31" t="n">
        <v>1</v>
      </c>
      <c r="H83" s="31" t="n">
        <v>8</v>
      </c>
      <c r="I83" s="31" t="n">
        <v>2</v>
      </c>
      <c r="J83" s="31" t="n">
        <v>1800</v>
      </c>
      <c r="K83" s="31" t="n">
        <v>413</v>
      </c>
      <c r="L83" s="31" t="n">
        <v>150</v>
      </c>
      <c r="M83" s="31" t="n">
        <v>175</v>
      </c>
      <c r="N83" s="31" t="n">
        <v>19</v>
      </c>
      <c r="O83" s="31" t="n">
        <v>400</v>
      </c>
      <c r="P83" s="31" t="inlineStr">
        <is>
          <t>斉藤</t>
        </is>
      </c>
      <c r="Q83" s="31" t="inlineStr">
        <is>
          <t>5戦0勝</t>
        </is>
      </c>
      <c r="R83" s="31" t="n">
        <v>0</v>
      </c>
      <c r="S83" s="31" t="n">
        <v>0</v>
      </c>
      <c r="T83" s="31" t="n">
        <v>358</v>
      </c>
      <c r="U83" s="31" t="n">
        <v>0</v>
      </c>
      <c r="V83" s="31" t="n">
        <v>0.2</v>
      </c>
      <c r="W83" s="31" t="n">
        <v>0</v>
      </c>
      <c r="X83" s="31" t="inlineStr">
        <is>
          <t>--&gt;</t>
        </is>
      </c>
      <c r="Y83" s="31" t="n">
        <v>0</v>
      </c>
      <c r="Z83" s="31" t="inlineStr"/>
    </row>
    <row r="84" ht="15" customHeight="1" s="19">
      <c r="A84" s="31" t="n">
        <v>2020</v>
      </c>
      <c r="B84" s="31" t="n">
        <v>83</v>
      </c>
      <c r="C84" s="31" t="inlineStr">
        <is>
          <t>ユールフェストの19</t>
        </is>
      </c>
      <c r="D84" s="31" t="inlineStr">
        <is>
          <t>ジェノランケーブ</t>
        </is>
      </c>
      <c r="E84" s="31" t="inlineStr">
        <is>
          <t>シルバーステート</t>
        </is>
      </c>
      <c r="F84" s="31" t="inlineStr">
        <is>
          <t>牡</t>
        </is>
      </c>
      <c r="G84" s="31" t="n">
        <v>5</v>
      </c>
      <c r="H84" s="31" t="n">
        <v>10</v>
      </c>
      <c r="I84" s="31" t="n">
        <v>4</v>
      </c>
      <c r="J84" s="31" t="n">
        <v>1800</v>
      </c>
      <c r="K84" s="31" t="n">
        <v>406</v>
      </c>
      <c r="L84" s="31" t="n">
        <v>146.5</v>
      </c>
      <c r="M84" s="31" t="n">
        <v>169</v>
      </c>
      <c r="N84" s="31" t="n">
        <v>19.1</v>
      </c>
      <c r="O84" s="31" t="n">
        <v>400</v>
      </c>
      <c r="P84" s="31" t="inlineStr">
        <is>
          <t>四位</t>
        </is>
      </c>
      <c r="Q84" s="31" t="inlineStr">
        <is>
          <t>0戦0勝</t>
        </is>
      </c>
      <c r="R84" s="31" t="n">
        <v>0</v>
      </c>
      <c r="S84" s="31" t="n">
        <v>0</v>
      </c>
      <c r="T84" s="31" t="n">
        <v>0</v>
      </c>
      <c r="U84" s="31" t="n">
        <v>0</v>
      </c>
      <c r="V84" s="31" t="n">
        <v>0</v>
      </c>
      <c r="W84" s="31" t="n">
        <v>0</v>
      </c>
      <c r="X84" s="31" t="inlineStr">
        <is>
          <t>--&gt;</t>
        </is>
      </c>
      <c r="Y84" s="31" t="n">
        <v>1</v>
      </c>
      <c r="Z84" s="31" t="inlineStr">
        <is>
          <t>牡</t>
        </is>
      </c>
    </row>
    <row r="85" ht="15" customHeight="1" s="19">
      <c r="A85" s="31" t="n">
        <v>2020</v>
      </c>
      <c r="B85" s="31" t="n">
        <v>84</v>
      </c>
      <c r="C85" s="31" t="inlineStr">
        <is>
          <t>イマーキュレイトキャットの19</t>
        </is>
      </c>
      <c r="D85" s="31" t="inlineStr">
        <is>
          <t>イングレーヴ (Engrave)</t>
        </is>
      </c>
      <c r="E85" s="31" t="inlineStr">
        <is>
          <t>ダノンシャンティ</t>
        </is>
      </c>
      <c r="F85" s="31" t="inlineStr">
        <is>
          <t>メス</t>
        </is>
      </c>
      <c r="G85" s="31" t="n">
        <v>2</v>
      </c>
      <c r="H85" s="31" t="n">
        <v>11</v>
      </c>
      <c r="I85" s="31" t="n">
        <v>4</v>
      </c>
      <c r="J85" s="31" t="n">
        <v>1400</v>
      </c>
      <c r="K85" s="31" t="n">
        <v>458</v>
      </c>
      <c r="L85" s="31" t="n">
        <v>157</v>
      </c>
      <c r="M85" s="31" t="n">
        <v>175</v>
      </c>
      <c r="N85" s="31" t="n">
        <v>20.2</v>
      </c>
      <c r="O85" s="31" t="n">
        <v>400</v>
      </c>
      <c r="P85" s="31" t="inlineStr">
        <is>
          <t>武 英智</t>
        </is>
      </c>
      <c r="Q85" s="31" t="inlineStr">
        <is>
          <t>3戦0勝</t>
        </is>
      </c>
      <c r="R85" s="31" t="n">
        <v>0</v>
      </c>
      <c r="S85" s="31" t="n">
        <v>0</v>
      </c>
      <c r="T85" s="31" t="n">
        <v>0</v>
      </c>
      <c r="U85" s="31" t="n">
        <v>0</v>
      </c>
      <c r="V85" s="31" t="n">
        <v>0</v>
      </c>
      <c r="W85" s="31" t="n">
        <v>0</v>
      </c>
      <c r="X85" s="31" t="inlineStr">
        <is>
          <t>--&gt;</t>
        </is>
      </c>
      <c r="Y85" s="31" t="n">
        <v>1</v>
      </c>
      <c r="Z85" s="31" t="inlineStr">
        <is>
          <t>420kg+</t>
        </is>
      </c>
    </row>
    <row r="86" ht="15" customHeight="1" s="19">
      <c r="A86" s="31" t="n">
        <v>2020</v>
      </c>
      <c r="B86" s="31" t="n">
        <v>85</v>
      </c>
      <c r="C86" s="31" t="inlineStr">
        <is>
          <t>シンハリーズの19</t>
        </is>
      </c>
      <c r="D86" s="31" t="inlineStr">
        <is>
          <t>スリーパーダ (Sri Pada)</t>
        </is>
      </c>
      <c r="E86" s="31" t="inlineStr">
        <is>
          <t>ミッキーアイル</t>
        </is>
      </c>
      <c r="F86" s="31" t="inlineStr">
        <is>
          <t>メス</t>
        </is>
      </c>
      <c r="G86" s="31" t="n">
        <v>2</v>
      </c>
      <c r="H86" s="31" t="n">
        <v>17</v>
      </c>
      <c r="I86" s="31" t="n">
        <v>10</v>
      </c>
      <c r="J86" s="31" t="n">
        <v>3000</v>
      </c>
      <c r="K86" s="31" t="n">
        <v>411</v>
      </c>
      <c r="L86" s="31" t="n">
        <v>152.5</v>
      </c>
      <c r="M86" s="31" t="n">
        <v>171.5</v>
      </c>
      <c r="N86" s="31" t="n">
        <v>19.2</v>
      </c>
      <c r="O86" s="31" t="n">
        <v>400</v>
      </c>
      <c r="P86" s="31" t="inlineStr">
        <is>
          <t>斉藤</t>
        </is>
      </c>
      <c r="Q86" s="31" t="inlineStr">
        <is>
          <t>18戦3勝</t>
        </is>
      </c>
      <c r="R86" s="31" t="n">
        <v>3</v>
      </c>
      <c r="S86" s="31" t="n">
        <v>0</v>
      </c>
      <c r="T86" s="31" t="n">
        <v>6518</v>
      </c>
      <c r="U86" s="31" t="n">
        <v>0</v>
      </c>
      <c r="V86" s="31" t="n">
        <v>2.17</v>
      </c>
      <c r="W86" s="31" t="n">
        <v>0</v>
      </c>
      <c r="X86" s="31" t="inlineStr">
        <is>
          <t>23'水無月S(3勝クラス)22'北摂特別(2勝クラス)--&gt;</t>
        </is>
      </c>
      <c r="Y86" s="31" t="n">
        <v>1</v>
      </c>
      <c r="Z86" s="31" t="inlineStr">
        <is>
          <t>価格帯</t>
        </is>
      </c>
    </row>
    <row r="87" ht="15" customHeight="1" s="19">
      <c r="A87" s="31" t="n">
        <v>2020</v>
      </c>
      <c r="B87" s="31" t="n">
        <v>86</v>
      </c>
      <c r="C87" s="31" t="inlineStr">
        <is>
          <t>シャレードスマイルの19</t>
        </is>
      </c>
      <c r="D87" s="31" t="inlineStr">
        <is>
          <t>スマイルアプローズ (Smile Applause)</t>
        </is>
      </c>
      <c r="E87" s="31" t="inlineStr">
        <is>
          <t>リオンディーズ</t>
        </is>
      </c>
      <c r="F87" s="31" t="inlineStr">
        <is>
          <t>牡</t>
        </is>
      </c>
      <c r="G87" s="31" t="n">
        <v>3</v>
      </c>
      <c r="H87" s="31" t="n">
        <v>6</v>
      </c>
      <c r="I87" s="31" t="n">
        <v>2</v>
      </c>
      <c r="J87" s="31" t="n">
        <v>2000</v>
      </c>
      <c r="K87" s="31" t="n">
        <v>435</v>
      </c>
      <c r="L87" s="31" t="n">
        <v>151</v>
      </c>
      <c r="M87" s="31" t="n">
        <v>171.5</v>
      </c>
      <c r="N87" s="31" t="n">
        <v>20.8</v>
      </c>
      <c r="O87" s="31" t="n">
        <v>400</v>
      </c>
      <c r="P87" s="31" t="inlineStr">
        <is>
          <t>橋田</t>
        </is>
      </c>
      <c r="Q87" s="31" t="inlineStr">
        <is>
          <t>6戦0勝</t>
        </is>
      </c>
      <c r="R87" s="31" t="n">
        <v>0</v>
      </c>
      <c r="S87" s="31" t="n">
        <v>0</v>
      </c>
      <c r="T87" s="31" t="n">
        <v>0</v>
      </c>
      <c r="U87" s="31" t="n">
        <v>3</v>
      </c>
      <c r="V87" s="31" t="n">
        <v>0</v>
      </c>
      <c r="W87" s="31" t="n">
        <v>0</v>
      </c>
      <c r="X87" s="31" t="inlineStr">
        <is>
          <t>--&gt;</t>
        </is>
      </c>
      <c r="Y87" s="31" t="n">
        <v>2</v>
      </c>
      <c r="Z87" s="31" t="inlineStr">
        <is>
          <t>牡・420kg+</t>
        </is>
      </c>
    </row>
    <row r="88" ht="15" customHeight="1" s="19">
      <c r="A88" s="31" t="n">
        <v>2020</v>
      </c>
      <c r="B88" s="31" t="n">
        <v>87</v>
      </c>
      <c r="C88" s="31" t="inlineStr">
        <is>
          <t>タリサの19</t>
        </is>
      </c>
      <c r="D88" s="31" t="inlineStr">
        <is>
          <t>ダグザ (Dagda)</t>
        </is>
      </c>
      <c r="E88" s="31" t="inlineStr">
        <is>
          <t>Shalaa</t>
        </is>
      </c>
      <c r="F88" s="31" t="inlineStr">
        <is>
          <t>牡</t>
        </is>
      </c>
      <c r="G88" s="31" t="n">
        <v>4</v>
      </c>
      <c r="H88" s="31" t="n">
        <v>6</v>
      </c>
      <c r="I88" s="31" t="n">
        <v>1</v>
      </c>
      <c r="J88" s="31" t="n">
        <v>2400</v>
      </c>
      <c r="K88" s="31" t="n">
        <v>431</v>
      </c>
      <c r="L88" s="31" t="n">
        <v>151.5</v>
      </c>
      <c r="M88" s="31" t="n">
        <v>173</v>
      </c>
      <c r="N88" s="31" t="n">
        <v>20.1</v>
      </c>
      <c r="O88" s="31" t="n">
        <v>400</v>
      </c>
      <c r="P88" s="31" t="inlineStr">
        <is>
          <t>安田 隆行</t>
        </is>
      </c>
      <c r="Q88" s="31" t="inlineStr">
        <is>
          <t>84戦5勝</t>
        </is>
      </c>
      <c r="R88" s="31" t="n">
        <v>0</v>
      </c>
      <c r="S88" s="31" t="n">
        <v>5</v>
      </c>
      <c r="T88" s="31" t="n">
        <v>180</v>
      </c>
      <c r="U88" s="31" t="n">
        <v>623</v>
      </c>
      <c r="V88" s="31" t="n">
        <v>0.33</v>
      </c>
      <c r="W88" s="31" t="n">
        <v>0</v>
      </c>
      <c r="X88" s="31" t="inlineStr">
        <is>
          <t>B2C1--&gt;</t>
        </is>
      </c>
      <c r="Y88" s="31" t="n">
        <v>2</v>
      </c>
      <c r="Z88" s="31" t="inlineStr">
        <is>
          <t>牡・420kg+</t>
        </is>
      </c>
    </row>
    <row r="89" ht="15" customHeight="1" s="19">
      <c r="A89" s="31" t="n">
        <v>2020</v>
      </c>
      <c r="B89" s="31" t="n">
        <v>88</v>
      </c>
      <c r="C89" s="31" t="inlineStr">
        <is>
          <t>オーラレガーレの19</t>
        </is>
      </c>
      <c r="D89" s="31" t="inlineStr">
        <is>
          <t>フィリオデルソル (Figlio del Sol)</t>
        </is>
      </c>
      <c r="E89" s="31" t="inlineStr">
        <is>
          <t>クリエイターⅡ</t>
        </is>
      </c>
      <c r="F89" s="31" t="inlineStr">
        <is>
          <t>牡</t>
        </is>
      </c>
      <c r="G89" s="31" t="n">
        <v>4</v>
      </c>
      <c r="H89" s="31" t="n">
        <v>11</v>
      </c>
      <c r="I89" s="31" t="n">
        <v>5</v>
      </c>
      <c r="J89" s="31" t="n">
        <v>1400</v>
      </c>
      <c r="K89" s="31" t="n">
        <v>420</v>
      </c>
      <c r="L89" s="31" t="n">
        <v>154.5</v>
      </c>
      <c r="M89" s="31" t="n">
        <v>170</v>
      </c>
      <c r="N89" s="31" t="n">
        <v>20</v>
      </c>
      <c r="O89" s="31" t="n">
        <v>100</v>
      </c>
      <c r="P89" s="31" t="inlineStr">
        <is>
          <t>地方</t>
        </is>
      </c>
      <c r="Q89" s="31" t="inlineStr">
        <is>
          <t>30戦7勝</t>
        </is>
      </c>
      <c r="R89" s="31" t="n">
        <v>0</v>
      </c>
      <c r="S89" s="31" t="n">
        <v>7</v>
      </c>
      <c r="T89" s="31" t="n">
        <v>0</v>
      </c>
      <c r="U89" s="31" t="n">
        <v>4106</v>
      </c>
      <c r="V89" s="31" t="n">
        <v>2.93</v>
      </c>
      <c r="W89" s="31" t="n">
        <v>0</v>
      </c>
      <c r="X89" s="31" t="inlineStr">
        <is>
          <t>21'JRA認定ウィナーズチャレンジ3(OP)21'JRA認定フレッシュチャレンジ(新馬)--&gt;</t>
        </is>
      </c>
      <c r="Y89" s="31" t="n">
        <v>2</v>
      </c>
      <c r="Z89" s="31" t="inlineStr">
        <is>
          <t>牡・420kg+</t>
        </is>
      </c>
    </row>
    <row r="90" ht="15" customHeight="1" s="19">
      <c r="A90" s="31" t="n">
        <v>2020</v>
      </c>
      <c r="B90" s="31" t="n">
        <v>89</v>
      </c>
      <c r="C90" s="31" t="inlineStr">
        <is>
          <t>アンソロジーの19</t>
        </is>
      </c>
      <c r="D90" s="31" t="inlineStr">
        <is>
          <t>プライルード (Praelude)</t>
        </is>
      </c>
      <c r="E90" s="31" t="inlineStr">
        <is>
          <t>ラブリーデイ</t>
        </is>
      </c>
      <c r="F90" s="31" t="inlineStr">
        <is>
          <t>牡</t>
        </is>
      </c>
      <c r="G90" s="31" t="n">
        <v>4</v>
      </c>
      <c r="H90" s="31" t="n">
        <v>15</v>
      </c>
      <c r="I90" s="31" t="n">
        <v>9</v>
      </c>
      <c r="J90" s="31" t="n">
        <v>1400</v>
      </c>
      <c r="K90" s="31" t="n">
        <v>448</v>
      </c>
      <c r="L90" s="31" t="n">
        <v>150</v>
      </c>
      <c r="M90" s="31" t="n">
        <v>175.5</v>
      </c>
      <c r="N90" s="31" t="n">
        <v>20.3</v>
      </c>
      <c r="O90" s="31" t="n">
        <v>100</v>
      </c>
      <c r="P90" s="31" t="inlineStr">
        <is>
          <t>地方</t>
        </is>
      </c>
      <c r="Q90" s="31" t="inlineStr">
        <is>
          <t>29戦8勝</t>
        </is>
      </c>
      <c r="R90" s="31" t="n">
        <v>0</v>
      </c>
      <c r="S90" s="31" t="n">
        <v>8</v>
      </c>
      <c r="T90" s="31" t="n">
        <v>0</v>
      </c>
      <c r="U90" s="31" t="n">
        <v>10101</v>
      </c>
      <c r="V90" s="31" t="n">
        <v>7.21</v>
      </c>
      <c r="W90" s="31" t="n">
        <v>0</v>
      </c>
      <c r="X90" s="31" t="inlineStr">
        <is>
          <t>22'優駿スプリント(G)22'アフター5スター賞(G)--&gt;</t>
        </is>
      </c>
      <c r="Y90" s="31" t="n">
        <v>2</v>
      </c>
      <c r="Z90" s="31" t="inlineStr">
        <is>
          <t>牡・420kg+</t>
        </is>
      </c>
    </row>
    <row r="91" ht="15" customHeight="1" s="19">
      <c r="A91" s="31" t="n">
        <v>2020</v>
      </c>
      <c r="B91" s="31" t="n">
        <v>90</v>
      </c>
      <c r="C91" s="31" t="inlineStr">
        <is>
          <t>レッドソンブレロの19</t>
        </is>
      </c>
      <c r="D91" s="31" t="inlineStr">
        <is>
          <t>スカーレットピース (Scarlet Piece)</t>
        </is>
      </c>
      <c r="E91" s="31" t="inlineStr">
        <is>
          <t>アジアエクスプレス</t>
        </is>
      </c>
      <c r="F91" s="31" t="inlineStr">
        <is>
          <t>メス</t>
        </is>
      </c>
      <c r="G91" s="31" t="n">
        <v>4</v>
      </c>
      <c r="H91" s="31" t="n">
        <v>7</v>
      </c>
      <c r="I91" s="31" t="n">
        <v>4</v>
      </c>
      <c r="J91" s="31" t="n">
        <v>1000</v>
      </c>
      <c r="K91" s="31" t="n">
        <v>443</v>
      </c>
      <c r="L91" s="31" t="n">
        <v>147</v>
      </c>
      <c r="M91" s="31" t="n">
        <v>172</v>
      </c>
      <c r="N91" s="31" t="n">
        <v>19.5</v>
      </c>
      <c r="O91" s="31" t="n">
        <v>100</v>
      </c>
      <c r="P91" s="31" t="inlineStr">
        <is>
          <t>地方</t>
        </is>
      </c>
      <c r="Q91" s="31" t="inlineStr">
        <is>
          <t>20戦4勝</t>
        </is>
      </c>
      <c r="R91" s="31" t="n">
        <v>0</v>
      </c>
      <c r="S91" s="31" t="n">
        <v>4</v>
      </c>
      <c r="T91" s="31" t="n">
        <v>0</v>
      </c>
      <c r="U91" s="31" t="n">
        <v>827</v>
      </c>
      <c r="V91" s="31" t="n">
        <v>0.83</v>
      </c>
      <c r="W91" s="31" t="n">
        <v>0</v>
      </c>
      <c r="X91" s="31" t="inlineStr">
        <is>
          <t>21'JRA認定フレッシュチャレンジ(新馬)B1--&gt;</t>
        </is>
      </c>
      <c r="Y91" s="31" t="n">
        <v>1</v>
      </c>
      <c r="Z91" s="31" t="inlineStr">
        <is>
          <t>420kg+</t>
        </is>
      </c>
    </row>
    <row r="92" ht="15" customHeight="1" s="19">
      <c r="A92" s="31" t="n">
        <v>2020</v>
      </c>
      <c r="B92" s="31" t="n">
        <v>91</v>
      </c>
      <c r="C92" s="31" t="inlineStr">
        <is>
          <t>パールズシャインの19</t>
        </is>
      </c>
      <c r="D92" s="31" t="inlineStr">
        <is>
          <t>パールズウィッシュ (Pearl's Wish)</t>
        </is>
      </c>
      <c r="E92" s="31" t="inlineStr">
        <is>
          <t>マジェスティックウォリアー</t>
        </is>
      </c>
      <c r="F92" s="31" t="inlineStr">
        <is>
          <t>メス</t>
        </is>
      </c>
      <c r="G92" s="31" t="n">
        <v>3</v>
      </c>
      <c r="H92" s="31" t="n">
        <v>5</v>
      </c>
      <c r="I92" s="31" t="n">
        <v>1</v>
      </c>
      <c r="J92" s="31" t="n">
        <v>800</v>
      </c>
      <c r="K92" s="31" t="n">
        <v>404</v>
      </c>
      <c r="L92" s="31" t="n">
        <v>152</v>
      </c>
      <c r="M92" s="31" t="n">
        <v>170</v>
      </c>
      <c r="N92" s="31" t="n">
        <v>18.6</v>
      </c>
      <c r="O92" s="31" t="n">
        <v>100</v>
      </c>
      <c r="P92" s="31" t="inlineStr">
        <is>
          <t>地方</t>
        </is>
      </c>
      <c r="Q92" s="31" t="inlineStr">
        <is>
          <t>20戦1勝</t>
        </is>
      </c>
      <c r="R92" s="31" t="n">
        <v>0</v>
      </c>
      <c r="S92" s="31" t="n">
        <v>1</v>
      </c>
      <c r="T92" s="31" t="n">
        <v>0</v>
      </c>
      <c r="U92" s="31" t="n">
        <v>480</v>
      </c>
      <c r="V92" s="31" t="n">
        <v>0.6</v>
      </c>
      <c r="W92" s="31" t="n">
        <v>0</v>
      </c>
      <c r="X92" s="31" t="inlineStr">
        <is>
          <t>特選--&gt;</t>
        </is>
      </c>
      <c r="Y92" s="31" t="n">
        <v>0</v>
      </c>
      <c r="Z92" s="31" t="inlineStr"/>
    </row>
    <row r="93" ht="15" customHeight="1" s="19">
      <c r="A93" s="31" t="n">
        <v>2020</v>
      </c>
      <c r="B93" s="31" t="n">
        <v>92</v>
      </c>
      <c r="C93" s="31" t="inlineStr">
        <is>
          <t>ギャラリートークの19</t>
        </is>
      </c>
      <c r="D93" s="31" t="inlineStr">
        <is>
          <t>アートクリティック (Art Critic)</t>
        </is>
      </c>
      <c r="E93" s="31" t="inlineStr">
        <is>
          <t>ロゴタイプ</t>
        </is>
      </c>
      <c r="F93" s="31" t="inlineStr">
        <is>
          <t>メス</t>
        </is>
      </c>
      <c r="G93" s="31" t="n">
        <v>4</v>
      </c>
      <c r="H93" s="31" t="n">
        <v>17</v>
      </c>
      <c r="I93" s="31" t="n">
        <v>12</v>
      </c>
      <c r="J93" s="31" t="n">
        <v>700</v>
      </c>
      <c r="K93" s="31" t="n">
        <v>412</v>
      </c>
      <c r="L93" s="31" t="n">
        <v>156.5</v>
      </c>
      <c r="M93" s="31" t="n">
        <v>176</v>
      </c>
      <c r="N93" s="31" t="n">
        <v>19.3</v>
      </c>
      <c r="O93" s="31" t="n">
        <v>100</v>
      </c>
      <c r="P93" s="31" t="inlineStr">
        <is>
          <t>地方</t>
        </is>
      </c>
      <c r="Q93" s="31" t="inlineStr">
        <is>
          <t>35戦1勝</t>
        </is>
      </c>
      <c r="R93" s="31" t="n">
        <v>0</v>
      </c>
      <c r="S93" s="31" t="n">
        <v>1</v>
      </c>
      <c r="T93" s="31" t="n">
        <v>0</v>
      </c>
      <c r="U93" s="31" t="n">
        <v>491</v>
      </c>
      <c r="V93" s="31" t="n">
        <v>0.7</v>
      </c>
      <c r="W93" s="31" t="n">
        <v>0</v>
      </c>
      <c r="X93" s="31" t="inlineStr">
        <is>
          <t>迦陵頻伽賞--&gt;</t>
        </is>
      </c>
      <c r="Y93" s="31" t="n">
        <v>0</v>
      </c>
      <c r="Z93" s="31" t="inlineStr"/>
    </row>
    <row r="94" ht="15" customHeight="1" s="19">
      <c r="A94" s="31" t="n">
        <v>2021</v>
      </c>
      <c r="B94" s="31" t="n">
        <v>1</v>
      </c>
      <c r="C94" s="31" t="inlineStr">
        <is>
          <t>ナスケンアイリスの2020</t>
        </is>
      </c>
      <c r="D94" s="31" t="inlineStr">
        <is>
          <t>プロテア (Protea)</t>
        </is>
      </c>
      <c r="E94" s="31" t="inlineStr">
        <is>
          <t>ロードカナロア</t>
        </is>
      </c>
      <c r="F94" s="31" t="inlineStr">
        <is>
          <t>牡</t>
        </is>
      </c>
      <c r="G94" s="31" t="n">
        <v>2</v>
      </c>
      <c r="H94" s="31" t="n">
        <v>13</v>
      </c>
      <c r="I94" s="31" t="n">
        <v>9</v>
      </c>
      <c r="J94" s="31" t="n">
        <v>4800</v>
      </c>
      <c r="K94" s="31" t="n">
        <v>426</v>
      </c>
      <c r="L94" s="31" t="n">
        <v>154</v>
      </c>
      <c r="M94" s="31" t="n">
        <v>179.5</v>
      </c>
      <c r="N94" s="31" t="n">
        <v>20.3</v>
      </c>
      <c r="O94" s="31" t="n">
        <v>400</v>
      </c>
      <c r="P94" s="31" t="inlineStr">
        <is>
          <t xml:space="preserve">手塚貴久 </t>
        </is>
      </c>
      <c r="Q94" s="31" t="inlineStr">
        <is>
          <t>34戦7勝</t>
        </is>
      </c>
      <c r="R94" s="31" t="n">
        <v>1</v>
      </c>
      <c r="S94" s="31" t="n">
        <v>6</v>
      </c>
      <c r="T94" s="31" t="n">
        <v>1930</v>
      </c>
      <c r="U94" s="31" t="n">
        <v>1126</v>
      </c>
      <c r="V94" s="31" t="n">
        <v>0.64</v>
      </c>
      <c r="W94" s="31" t="n">
        <v>0</v>
      </c>
      <c r="X94" s="31" t="inlineStr">
        <is>
          <t>25'4歳以上1勝クラスBー3--&gt;</t>
        </is>
      </c>
      <c r="Y94" s="31" t="n">
        <v>2</v>
      </c>
      <c r="Z94" s="31" t="inlineStr">
        <is>
          <t>牡・420kg+</t>
        </is>
      </c>
    </row>
    <row r="95" ht="15" customHeight="1" s="19">
      <c r="A95" s="31" t="n">
        <v>2021</v>
      </c>
      <c r="B95" s="31" t="n">
        <v>2</v>
      </c>
      <c r="C95" s="31" t="inlineStr">
        <is>
          <t>コケレールの2020</t>
        </is>
      </c>
      <c r="D95" s="31" t="inlineStr">
        <is>
          <t>スティルディマーレ (Still di Mare)</t>
        </is>
      </c>
      <c r="E95" s="31" t="inlineStr">
        <is>
          <t>ロードカナロア</t>
        </is>
      </c>
      <c r="F95" s="31" t="inlineStr">
        <is>
          <t>牡</t>
        </is>
      </c>
      <c r="G95" s="31" t="n">
        <v>2</v>
      </c>
      <c r="H95" s="31" t="n">
        <v>16</v>
      </c>
      <c r="I95" s="31" t="n">
        <v>8</v>
      </c>
      <c r="J95" s="31" t="n">
        <v>6000</v>
      </c>
      <c r="K95" s="31" t="n">
        <v>483</v>
      </c>
      <c r="L95" s="31" t="n">
        <v>160</v>
      </c>
      <c r="M95" s="31" t="n">
        <v>182</v>
      </c>
      <c r="N95" s="31" t="n">
        <v>22.1</v>
      </c>
      <c r="O95" s="31" t="n">
        <v>400</v>
      </c>
      <c r="P95" s="31" t="inlineStr">
        <is>
          <t xml:space="preserve">国枝栄 </t>
        </is>
      </c>
      <c r="Q95" s="31" t="inlineStr">
        <is>
          <t>21戦3勝</t>
        </is>
      </c>
      <c r="R95" s="31" t="n">
        <v>2</v>
      </c>
      <c r="S95" s="31" t="n">
        <v>1</v>
      </c>
      <c r="T95" s="31" t="n">
        <v>2330</v>
      </c>
      <c r="U95" s="31" t="n">
        <v>121</v>
      </c>
      <c r="V95" s="31" t="n">
        <v>0.41</v>
      </c>
      <c r="W95" s="31" t="n">
        <v>0</v>
      </c>
      <c r="X95" s="31" t="inlineStr">
        <is>
          <t>23'3歳以上1勝クラス23'3歳未勝利--&gt;</t>
        </is>
      </c>
      <c r="Y95" s="31" t="n">
        <v>2</v>
      </c>
      <c r="Z95" s="31" t="inlineStr">
        <is>
          <t>牡・420kg+</t>
        </is>
      </c>
    </row>
    <row r="96" ht="15" customHeight="1" s="19">
      <c r="A96" s="31" t="n">
        <v>2021</v>
      </c>
      <c r="B96" s="31" t="n">
        <v>4</v>
      </c>
      <c r="C96" s="31" t="inlineStr">
        <is>
          <t>シーザリオの2020</t>
        </is>
      </c>
      <c r="D96" s="31" t="inlineStr">
        <is>
          <t>テンペスト (Tempest)</t>
        </is>
      </c>
      <c r="E96" s="31" t="inlineStr">
        <is>
          <t>ロードカナロア</t>
        </is>
      </c>
      <c r="F96" s="31" t="inlineStr">
        <is>
          <t>メス</t>
        </is>
      </c>
      <c r="G96" s="31" t="n">
        <v>2</v>
      </c>
      <c r="H96" s="31" t="n">
        <v>18</v>
      </c>
      <c r="I96" s="31" t="n">
        <v>12</v>
      </c>
      <c r="J96" s="31" t="n">
        <v>7000</v>
      </c>
      <c r="K96" s="31" t="n">
        <v>443</v>
      </c>
      <c r="L96" s="31" t="n">
        <v>154</v>
      </c>
      <c r="M96" s="31" t="n">
        <v>173.5</v>
      </c>
      <c r="N96" s="31" t="n">
        <v>19.5</v>
      </c>
      <c r="O96" s="31" t="n">
        <v>400</v>
      </c>
      <c r="P96" s="31" t="inlineStr">
        <is>
          <t xml:space="preserve">国枝栄 </t>
        </is>
      </c>
      <c r="Q96" s="31" t="inlineStr">
        <is>
          <t>8戦1勝</t>
        </is>
      </c>
      <c r="R96" s="31" t="n">
        <v>1</v>
      </c>
      <c r="S96" s="31" t="n">
        <v>0</v>
      </c>
      <c r="T96" s="31" t="n">
        <v>1845</v>
      </c>
      <c r="U96" s="31" t="n">
        <v>0</v>
      </c>
      <c r="V96" s="31" t="n">
        <v>0.26</v>
      </c>
      <c r="W96" s="31" t="n">
        <v>0</v>
      </c>
      <c r="X96" s="31" t="inlineStr">
        <is>
          <t>23'3歳未勝利--&gt;</t>
        </is>
      </c>
      <c r="Y96" s="31" t="n">
        <v>1</v>
      </c>
      <c r="Z96" s="31" t="inlineStr">
        <is>
          <t>420kg+</t>
        </is>
      </c>
    </row>
    <row r="97" ht="15" customHeight="1" s="19">
      <c r="A97" s="31" t="n">
        <v>2021</v>
      </c>
      <c r="B97" s="31" t="n">
        <v>9</v>
      </c>
      <c r="C97" s="31" t="inlineStr">
        <is>
          <t>バウンスシャッセの2020</t>
        </is>
      </c>
      <c r="D97" s="31" t="inlineStr">
        <is>
          <t>レヴォルタード (Revoltade)</t>
        </is>
      </c>
      <c r="E97" s="31" t="inlineStr">
        <is>
          <t>エピファネイア</t>
        </is>
      </c>
      <c r="F97" s="31" t="inlineStr">
        <is>
          <t>牡</t>
        </is>
      </c>
      <c r="G97" s="31" t="n">
        <v>3</v>
      </c>
      <c r="H97" s="31" t="n">
        <v>9</v>
      </c>
      <c r="I97" s="31" t="n">
        <v>3</v>
      </c>
      <c r="J97" s="31" t="n">
        <v>8000</v>
      </c>
      <c r="K97" s="31" t="n">
        <v>476</v>
      </c>
      <c r="L97" s="31" t="n">
        <v>158.5</v>
      </c>
      <c r="M97" s="31" t="n">
        <v>176.5</v>
      </c>
      <c r="N97" s="31" t="n">
        <v>21.1</v>
      </c>
      <c r="O97" s="31" t="n">
        <v>400</v>
      </c>
      <c r="P97" s="31" t="inlineStr">
        <is>
          <t xml:space="preserve">手塚貴久 </t>
        </is>
      </c>
      <c r="Q97" s="31" t="inlineStr">
        <is>
          <t>22戦2勝</t>
        </is>
      </c>
      <c r="R97" s="31" t="n">
        <v>2</v>
      </c>
      <c r="S97" s="31" t="n">
        <v>0</v>
      </c>
      <c r="T97" s="31" t="n">
        <v>2193</v>
      </c>
      <c r="U97" s="31" t="n">
        <v>0</v>
      </c>
      <c r="V97" s="31" t="n">
        <v>0.27</v>
      </c>
      <c r="W97" s="31" t="n">
        <v>0</v>
      </c>
      <c r="X97" s="31" t="inlineStr">
        <is>
          <t>23'3歳以上1勝クラス22'2歳未勝利--&gt;</t>
        </is>
      </c>
      <c r="Y97" s="31" t="n">
        <v>2</v>
      </c>
      <c r="Z97" s="31" t="inlineStr">
        <is>
          <t>牡・420kg+</t>
        </is>
      </c>
    </row>
    <row r="98" ht="15" customHeight="1" s="19">
      <c r="A98" s="31" t="n">
        <v>2021</v>
      </c>
      <c r="B98" s="31" t="n">
        <v>12</v>
      </c>
      <c r="C98" s="31" t="inlineStr">
        <is>
          <t>ステファニーズキトゥンの2020</t>
        </is>
      </c>
      <c r="D98" s="31" t="inlineStr">
        <is>
          <t>バロンゾラーレ (Ballonzolare)</t>
        </is>
      </c>
      <c r="E98" s="31" t="inlineStr">
        <is>
          <t>ドゥラメンテ</t>
        </is>
      </c>
      <c r="F98" s="31" t="inlineStr">
        <is>
          <t>メス</t>
        </is>
      </c>
      <c r="G98" s="31" t="n">
        <v>2</v>
      </c>
      <c r="H98" s="31" t="n">
        <v>11</v>
      </c>
      <c r="I98" s="31" t="n">
        <v>4</v>
      </c>
      <c r="J98" s="31" t="n">
        <v>3600</v>
      </c>
      <c r="K98" s="31" t="n">
        <v>473</v>
      </c>
      <c r="L98" s="31" t="n">
        <v>162</v>
      </c>
      <c r="M98" s="31" t="n">
        <v>175.5</v>
      </c>
      <c r="N98" s="31" t="n">
        <v>20.1</v>
      </c>
      <c r="O98" s="31" t="n">
        <v>400</v>
      </c>
      <c r="P98" s="31" t="inlineStr">
        <is>
          <t xml:space="preserve">久保田貴士 </t>
        </is>
      </c>
      <c r="Q98" s="31" t="inlineStr">
        <is>
          <t>5戦0勝</t>
        </is>
      </c>
      <c r="R98" s="31" t="n">
        <v>0</v>
      </c>
      <c r="S98" s="31" t="n">
        <v>0</v>
      </c>
      <c r="T98" s="31" t="n">
        <v>355</v>
      </c>
      <c r="U98" s="31" t="n">
        <v>0</v>
      </c>
      <c r="V98" s="31" t="n">
        <v>0.1</v>
      </c>
      <c r="W98" s="31" t="n">
        <v>0</v>
      </c>
      <c r="X98" s="31" t="inlineStr">
        <is>
          <t>--&gt;</t>
        </is>
      </c>
      <c r="Y98" s="31" t="n">
        <v>2</v>
      </c>
      <c r="Z98" s="31" t="inlineStr">
        <is>
          <t>価格帯・420kg+</t>
        </is>
      </c>
    </row>
    <row r="99" ht="15" customHeight="1" s="19">
      <c r="A99" s="31" t="n">
        <v>2021</v>
      </c>
      <c r="B99" s="31" t="n">
        <v>19</v>
      </c>
      <c r="C99" s="31" t="inlineStr">
        <is>
          <t>メジロシャレードの2020</t>
        </is>
      </c>
      <c r="D99" s="31" t="inlineStr">
        <is>
          <t>レイクトロシュナ (Lake Tolochenaz)</t>
        </is>
      </c>
      <c r="E99" s="31" t="inlineStr">
        <is>
          <t>ドレフォン</t>
        </is>
      </c>
      <c r="F99" s="31" t="inlineStr">
        <is>
          <t>メス</t>
        </is>
      </c>
      <c r="G99" s="31" t="n">
        <v>2</v>
      </c>
      <c r="H99" s="31" t="n">
        <v>14</v>
      </c>
      <c r="I99" s="31" t="n">
        <v>8</v>
      </c>
      <c r="J99" s="31" t="n">
        <v>2600</v>
      </c>
      <c r="K99" s="31" t="n">
        <v>500</v>
      </c>
      <c r="L99" s="31" t="n">
        <v>161</v>
      </c>
      <c r="M99" s="31" t="n">
        <v>182</v>
      </c>
      <c r="N99" s="31" t="n">
        <v>21</v>
      </c>
      <c r="O99" s="31" t="n">
        <v>400</v>
      </c>
      <c r="P99" s="31" t="inlineStr">
        <is>
          <t xml:space="preserve">萩原清 </t>
        </is>
      </c>
      <c r="Q99" s="31" t="inlineStr">
        <is>
          <t>2戦0勝</t>
        </is>
      </c>
      <c r="R99" s="31" t="n">
        <v>0</v>
      </c>
      <c r="S99" s="31" t="n">
        <v>0</v>
      </c>
      <c r="T99" s="31" t="n">
        <v>0</v>
      </c>
      <c r="U99" s="31" t="n">
        <v>0</v>
      </c>
      <c r="V99" s="31" t="n">
        <v>0</v>
      </c>
      <c r="W99" s="31" t="n">
        <v>0</v>
      </c>
      <c r="X99" s="31" t="inlineStr">
        <is>
          <t>--&gt;</t>
        </is>
      </c>
      <c r="Y99" s="31" t="n">
        <v>2</v>
      </c>
      <c r="Z99" s="31" t="inlineStr">
        <is>
          <t>価格帯・420kg+</t>
        </is>
      </c>
    </row>
    <row r="100" ht="15" customHeight="1" s="19">
      <c r="A100" s="31" t="n">
        <v>2021</v>
      </c>
      <c r="B100" s="31" t="n">
        <v>32</v>
      </c>
      <c r="C100" s="31" t="inlineStr">
        <is>
          <t>パルティトゥーラの2020</t>
        </is>
      </c>
      <c r="D100" s="31" t="inlineStr">
        <is>
          <t>タスティエーラ (Tastiera)</t>
        </is>
      </c>
      <c r="E100" s="31" t="inlineStr">
        <is>
          <t>サトノクラウン</t>
        </is>
      </c>
      <c r="F100" s="31" t="inlineStr">
        <is>
          <t>牡</t>
        </is>
      </c>
      <c r="G100" s="31" t="n">
        <v>3</v>
      </c>
      <c r="H100" s="31" t="n">
        <v>6</v>
      </c>
      <c r="I100" s="31" t="n">
        <v>1</v>
      </c>
      <c r="J100" s="31" t="n">
        <v>2800</v>
      </c>
      <c r="K100" s="31" t="n">
        <v>478</v>
      </c>
      <c r="L100" s="31" t="n">
        <v>158</v>
      </c>
      <c r="M100" s="31" t="n">
        <v>176</v>
      </c>
      <c r="N100" s="31" t="n">
        <v>21</v>
      </c>
      <c r="O100" s="31" t="n">
        <v>400</v>
      </c>
      <c r="P100" s="31" t="inlineStr">
        <is>
          <t xml:space="preserve">堀宣行 </t>
        </is>
      </c>
      <c r="Q100" s="31" t="inlineStr">
        <is>
          <t>15戦4勝</t>
        </is>
      </c>
      <c r="R100" s="31" t="n">
        <v>3</v>
      </c>
      <c r="S100" s="31" t="n">
        <v>1</v>
      </c>
      <c r="T100" s="31" t="n">
        <v>65897</v>
      </c>
      <c r="U100" s="31" t="n">
        <v>0</v>
      </c>
      <c r="V100" s="31" t="n">
        <v>23.53</v>
      </c>
      <c r="W100" s="31" t="n">
        <v>1</v>
      </c>
      <c r="X100" s="31" t="inlineStr">
        <is>
          <t>23'日本ダービー(G1)25'クイーンエリザベス2世C(G1)--&gt;</t>
        </is>
      </c>
      <c r="Y100" s="31" t="n">
        <v>3</v>
      </c>
      <c r="Z100" s="31" t="inlineStr">
        <is>
          <t>牡・価格帯・420kg+</t>
        </is>
      </c>
    </row>
    <row r="101" ht="15" customHeight="1" s="19">
      <c r="A101" s="31" t="n">
        <v>2021</v>
      </c>
      <c r="B101" s="31" t="n">
        <v>33</v>
      </c>
      <c r="C101" s="31" t="inlineStr">
        <is>
          <t>マルティンスタークの2020</t>
        </is>
      </c>
      <c r="D101" s="31" t="inlineStr">
        <is>
          <t>サヴァリア (Savaria)</t>
        </is>
      </c>
      <c r="E101" s="31" t="inlineStr">
        <is>
          <t>ジャスタウェイ</t>
        </is>
      </c>
      <c r="F101" s="31" t="inlineStr">
        <is>
          <t>メス</t>
        </is>
      </c>
      <c r="G101" s="31" t="n">
        <v>4</v>
      </c>
      <c r="H101" s="31" t="n">
        <v>15</v>
      </c>
      <c r="I101" s="31" t="n">
        <v>9</v>
      </c>
      <c r="J101" s="31" t="n">
        <v>2000</v>
      </c>
      <c r="K101" s="31" t="n">
        <v>439</v>
      </c>
      <c r="L101" s="31" t="n">
        <v>151.5</v>
      </c>
      <c r="M101" s="31" t="n">
        <v>175</v>
      </c>
      <c r="N101" s="31" t="n">
        <v>19.5</v>
      </c>
      <c r="O101" s="31" t="n">
        <v>400</v>
      </c>
      <c r="P101" s="31" t="inlineStr">
        <is>
          <t xml:space="preserve">小島茂之 </t>
        </is>
      </c>
      <c r="Q101" s="31" t="inlineStr">
        <is>
          <t>24戦1勝</t>
        </is>
      </c>
      <c r="R101" s="31" t="n">
        <v>0</v>
      </c>
      <c r="S101" s="31" t="n">
        <v>1</v>
      </c>
      <c r="T101" s="31" t="n">
        <v>303</v>
      </c>
      <c r="U101" s="31" t="n">
        <v>222</v>
      </c>
      <c r="V101" s="31" t="n">
        <v>0.26</v>
      </c>
      <c r="W101" s="31" t="n">
        <v>0</v>
      </c>
      <c r="X101" s="31" t="inlineStr">
        <is>
          <t>C2二--&gt;</t>
        </is>
      </c>
      <c r="Y101" s="31" t="n">
        <v>1</v>
      </c>
      <c r="Z101" s="31" t="inlineStr">
        <is>
          <t>420kg+</t>
        </is>
      </c>
    </row>
    <row r="102" ht="15" customHeight="1" s="19">
      <c r="A102" s="31" t="n">
        <v>2021</v>
      </c>
      <c r="B102" s="31" t="n">
        <v>40</v>
      </c>
      <c r="C102" s="31" t="inlineStr">
        <is>
          <t>スーブレットの2020</t>
        </is>
      </c>
      <c r="D102" s="31" t="inlineStr">
        <is>
          <t>ラリーレイド (Rally Raid)</t>
        </is>
      </c>
      <c r="E102" s="31" t="inlineStr">
        <is>
          <t>マジェスティックウォリアー</t>
        </is>
      </c>
      <c r="F102" s="31" t="inlineStr">
        <is>
          <t>牡</t>
        </is>
      </c>
      <c r="G102" s="31" t="n">
        <v>1</v>
      </c>
      <c r="H102" s="31" t="n">
        <v>5</v>
      </c>
      <c r="I102" s="31" t="n">
        <v>1</v>
      </c>
      <c r="J102" s="31" t="n">
        <v>2400</v>
      </c>
      <c r="K102" s="31" t="n">
        <v>462</v>
      </c>
      <c r="L102" s="31" t="n">
        <v>153.5</v>
      </c>
      <c r="M102" s="31" t="n">
        <v>179.5</v>
      </c>
      <c r="N102" s="31" t="n">
        <v>20</v>
      </c>
      <c r="O102" s="31" t="n">
        <v>400</v>
      </c>
      <c r="P102" s="31" t="inlineStr">
        <is>
          <t xml:space="preserve">萩原清 </t>
        </is>
      </c>
      <c r="Q102" s="31" t="inlineStr">
        <is>
          <t>3戦0勝</t>
        </is>
      </c>
      <c r="R102" s="31" t="n">
        <v>0</v>
      </c>
      <c r="S102" s="31" t="n">
        <v>0</v>
      </c>
      <c r="T102" s="31" t="n">
        <v>55</v>
      </c>
      <c r="U102" s="31" t="n">
        <v>0</v>
      </c>
      <c r="V102" s="31" t="n">
        <v>0.02</v>
      </c>
      <c r="W102" s="31" t="n">
        <v>0</v>
      </c>
      <c r="X102" s="31" t="inlineStr">
        <is>
          <t>--&gt;</t>
        </is>
      </c>
      <c r="Y102" s="31" t="n">
        <v>2</v>
      </c>
      <c r="Z102" s="31" t="inlineStr">
        <is>
          <t>牡・420kg+</t>
        </is>
      </c>
    </row>
    <row r="103" ht="15" customHeight="1" s="19">
      <c r="A103" s="31" t="n">
        <v>2021</v>
      </c>
      <c r="B103" s="31" t="n">
        <v>44</v>
      </c>
      <c r="C103" s="31" t="inlineStr">
        <is>
          <t>アヴェンチュラの2020</t>
        </is>
      </c>
      <c r="D103" s="31" t="inlineStr">
        <is>
          <t>トラヴォルジェンテ (Travolgente)</t>
        </is>
      </c>
      <c r="E103" s="31" t="inlineStr">
        <is>
          <t>ロードカナロア</t>
        </is>
      </c>
      <c r="F103" s="31" t="inlineStr">
        <is>
          <t>牡</t>
        </is>
      </c>
      <c r="G103" s="31" t="n">
        <v>3</v>
      </c>
      <c r="H103" s="31" t="n">
        <v>12</v>
      </c>
      <c r="I103" s="31" t="n">
        <v>7</v>
      </c>
      <c r="J103" s="31" t="n">
        <v>8000</v>
      </c>
      <c r="K103" s="31" t="n">
        <v>489</v>
      </c>
      <c r="L103" s="31" t="n">
        <v>160</v>
      </c>
      <c r="M103" s="31" t="n">
        <v>181</v>
      </c>
      <c r="N103" s="31" t="n">
        <v>21.3</v>
      </c>
      <c r="O103" s="31" t="n">
        <v>400</v>
      </c>
      <c r="P103" s="31" t="inlineStr">
        <is>
          <t xml:space="preserve">安田隆行 </t>
        </is>
      </c>
      <c r="Q103" s="31" t="inlineStr">
        <is>
          <t>54戦1勝</t>
        </is>
      </c>
      <c r="R103" s="31" t="n">
        <v>0</v>
      </c>
      <c r="S103" s="31" t="n">
        <v>1</v>
      </c>
      <c r="T103" s="31" t="n">
        <v>0</v>
      </c>
      <c r="U103" s="31" t="n">
        <v>293</v>
      </c>
      <c r="V103" s="31" t="n">
        <v>0.04</v>
      </c>
      <c r="W103" s="31" t="n">
        <v>0</v>
      </c>
      <c r="X103" s="31" t="inlineStr">
        <is>
          <t>C3二--&gt;</t>
        </is>
      </c>
      <c r="Y103" s="31" t="n">
        <v>2</v>
      </c>
      <c r="Z103" s="31" t="inlineStr">
        <is>
          <t>牡・420kg+</t>
        </is>
      </c>
    </row>
    <row r="104" ht="15" customHeight="1" s="19">
      <c r="A104" s="31" t="n">
        <v>2021</v>
      </c>
      <c r="B104" s="31" t="n">
        <v>49</v>
      </c>
      <c r="C104" s="31" t="inlineStr">
        <is>
          <t>ハヴユーゴーンアウェイの2020</t>
        </is>
      </c>
      <c r="D104" s="31" t="inlineStr">
        <is>
          <t>サンジュリオ</t>
        </is>
      </c>
      <c r="E104" s="31" t="inlineStr">
        <is>
          <t>ハーツクライ</t>
        </is>
      </c>
      <c r="F104" s="31" t="inlineStr">
        <is>
          <t>メス</t>
        </is>
      </c>
      <c r="G104" s="31" t="n">
        <v>3</v>
      </c>
      <c r="H104" s="31" t="n">
        <v>9</v>
      </c>
      <c r="I104" s="31" t="n">
        <v>2</v>
      </c>
      <c r="J104" s="31" t="n">
        <v>4000</v>
      </c>
      <c r="K104" s="31" t="n">
        <v>465</v>
      </c>
      <c r="L104" s="31" t="n">
        <v>157</v>
      </c>
      <c r="M104" s="31" t="n">
        <v>178.5</v>
      </c>
      <c r="N104" s="31" t="n">
        <v>20</v>
      </c>
      <c r="O104" s="31" t="n">
        <v>400</v>
      </c>
      <c r="P104" s="31" t="inlineStr">
        <is>
          <t xml:space="preserve">斉藤崇史 </t>
        </is>
      </c>
      <c r="Q104" s="31" t="inlineStr">
        <is>
          <t>0戦0勝</t>
        </is>
      </c>
      <c r="R104" s="31" t="n">
        <v>0</v>
      </c>
      <c r="S104" s="31" t="n">
        <v>0</v>
      </c>
      <c r="T104" s="31" t="n">
        <v>0</v>
      </c>
      <c r="U104" s="31" t="n">
        <v>0</v>
      </c>
      <c r="V104" s="31" t="n">
        <v>0</v>
      </c>
      <c r="W104" s="31" t="n">
        <v>0</v>
      </c>
      <c r="X104" s="31" t="inlineStr">
        <is>
          <t>--&gt;</t>
        </is>
      </c>
      <c r="Y104" s="31" t="n">
        <v>1</v>
      </c>
      <c r="Z104" s="31" t="inlineStr">
        <is>
          <t>420kg+</t>
        </is>
      </c>
    </row>
    <row r="105" ht="15" customHeight="1" s="19">
      <c r="A105" s="31" t="n">
        <v>2021</v>
      </c>
      <c r="B105" s="31" t="n">
        <v>50</v>
      </c>
      <c r="C105" s="31" t="inlineStr">
        <is>
          <t>インナーレルムの2020</t>
        </is>
      </c>
      <c r="D105" s="31" t="inlineStr">
        <is>
          <t>ハイアーレルム (Higher Realm)</t>
        </is>
      </c>
      <c r="E105" s="31" t="inlineStr">
        <is>
          <t>ハーツクライ</t>
        </is>
      </c>
      <c r="F105" s="31" t="inlineStr">
        <is>
          <t>メス</t>
        </is>
      </c>
      <c r="G105" s="31" t="n">
        <v>4</v>
      </c>
      <c r="H105" s="31" t="n">
        <v>12</v>
      </c>
      <c r="I105" s="31" t="n">
        <v>4</v>
      </c>
      <c r="J105" s="31" t="n">
        <v>4000</v>
      </c>
      <c r="K105" s="31" t="n">
        <v>464</v>
      </c>
      <c r="L105" s="31" t="n">
        <v>160</v>
      </c>
      <c r="M105" s="31" t="n">
        <v>180</v>
      </c>
      <c r="N105" s="31" t="n">
        <v>19.7</v>
      </c>
      <c r="O105" s="31" t="n">
        <v>400</v>
      </c>
      <c r="P105" s="31" t="inlineStr">
        <is>
          <t xml:space="preserve">安田隆行 </t>
        </is>
      </c>
      <c r="Q105" s="31" t="inlineStr">
        <is>
          <t>6戦0勝</t>
        </is>
      </c>
      <c r="R105" s="31" t="n">
        <v>0</v>
      </c>
      <c r="S105" s="31" t="n">
        <v>0</v>
      </c>
      <c r="T105" s="31" t="n">
        <v>165</v>
      </c>
      <c r="U105" s="31" t="n">
        <v>0</v>
      </c>
      <c r="V105" s="31" t="n">
        <v>0.04</v>
      </c>
      <c r="W105" s="31" t="n">
        <v>0</v>
      </c>
      <c r="X105" s="31" t="inlineStr">
        <is>
          <t>--&gt;</t>
        </is>
      </c>
      <c r="Y105" s="31" t="n">
        <v>1</v>
      </c>
      <c r="Z105" s="31" t="inlineStr">
        <is>
          <t>420kg+</t>
        </is>
      </c>
    </row>
    <row r="106" ht="15" customHeight="1" s="19">
      <c r="A106" s="31" t="n">
        <v>2021</v>
      </c>
      <c r="B106" s="31" t="n">
        <v>51</v>
      </c>
      <c r="C106" s="31" t="inlineStr">
        <is>
          <t>クルミナルの2020</t>
        </is>
      </c>
      <c r="D106" s="31" t="inlineStr">
        <is>
          <t>プレドミナル (Predominar)</t>
        </is>
      </c>
      <c r="E106" s="31" t="inlineStr">
        <is>
          <t>エピファネイア</t>
        </is>
      </c>
      <c r="F106" s="31" t="inlineStr">
        <is>
          <t>牡</t>
        </is>
      </c>
      <c r="G106" s="31" t="n">
        <v>4</v>
      </c>
      <c r="H106" s="31" t="n">
        <v>8</v>
      </c>
      <c r="I106" s="31" t="n">
        <v>4</v>
      </c>
      <c r="J106" s="31" t="n">
        <v>8000</v>
      </c>
      <c r="K106" s="31" t="n">
        <v>439</v>
      </c>
      <c r="L106" s="31" t="n">
        <v>151.5</v>
      </c>
      <c r="M106" s="31" t="n">
        <v>171</v>
      </c>
      <c r="N106" s="31" t="n">
        <v>20.4</v>
      </c>
      <c r="O106" s="31" t="n">
        <v>400</v>
      </c>
      <c r="P106" s="31" t="inlineStr">
        <is>
          <t xml:space="preserve">藤原英昭 </t>
        </is>
      </c>
      <c r="Q106" s="31" t="inlineStr">
        <is>
          <t>3戦0勝</t>
        </is>
      </c>
      <c r="R106" s="31" t="n">
        <v>0</v>
      </c>
      <c r="S106" s="31" t="n">
        <v>0</v>
      </c>
      <c r="T106" s="31" t="n">
        <v>390</v>
      </c>
      <c r="U106" s="31" t="n">
        <v>0</v>
      </c>
      <c r="V106" s="31" t="n">
        <v>0.05</v>
      </c>
      <c r="W106" s="31" t="n">
        <v>0</v>
      </c>
      <c r="X106" s="31" t="inlineStr">
        <is>
          <t>--&gt;</t>
        </is>
      </c>
      <c r="Y106" s="31" t="n">
        <v>2</v>
      </c>
      <c r="Z106" s="31" t="inlineStr">
        <is>
          <t>牡・420kg+</t>
        </is>
      </c>
    </row>
    <row r="107" ht="15" customHeight="1" s="19">
      <c r="A107" s="31" t="n">
        <v>2021</v>
      </c>
      <c r="B107" s="31" t="n">
        <v>52</v>
      </c>
      <c r="C107" s="31" t="inlineStr">
        <is>
          <t>エールデュレーヴの2020</t>
        </is>
      </c>
      <c r="D107" s="31" t="inlineStr">
        <is>
          <t>オクタグラム (Octagram)</t>
        </is>
      </c>
      <c r="E107" s="31" t="inlineStr">
        <is>
          <t>エピファネイア</t>
        </is>
      </c>
      <c r="F107" s="31" t="inlineStr">
        <is>
          <t>牡</t>
        </is>
      </c>
      <c r="G107" s="31" t="n">
        <v>5</v>
      </c>
      <c r="H107" s="31" t="n">
        <v>7</v>
      </c>
      <c r="I107" s="31" t="n">
        <v>2</v>
      </c>
      <c r="J107" s="31" t="n">
        <v>5000</v>
      </c>
      <c r="K107" s="31" t="n">
        <v>434</v>
      </c>
      <c r="L107" s="31" t="n">
        <v>153</v>
      </c>
      <c r="M107" s="31" t="n">
        <v>173</v>
      </c>
      <c r="N107" s="31" t="n">
        <v>21.5</v>
      </c>
      <c r="O107" s="31" t="n">
        <v>400</v>
      </c>
      <c r="P107" s="31" t="inlineStr">
        <is>
          <t xml:space="preserve">友道康夫 </t>
        </is>
      </c>
      <c r="Q107" s="31" t="inlineStr">
        <is>
          <t>20戦0勝</t>
        </is>
      </c>
      <c r="R107" s="31" t="n">
        <v>0</v>
      </c>
      <c r="S107" s="31" t="n">
        <v>0</v>
      </c>
      <c r="T107" s="31" t="n">
        <v>0</v>
      </c>
      <c r="U107" s="31" t="n">
        <v>21</v>
      </c>
      <c r="V107" s="31" t="n">
        <v>0</v>
      </c>
      <c r="W107" s="31" t="n">
        <v>0</v>
      </c>
      <c r="X107" s="31" t="inlineStr">
        <is>
          <t>--&gt;</t>
        </is>
      </c>
      <c r="Y107" s="31" t="n">
        <v>2</v>
      </c>
      <c r="Z107" s="31" t="inlineStr">
        <is>
          <t>牡・420kg+</t>
        </is>
      </c>
    </row>
    <row r="108" ht="15" customHeight="1" s="19">
      <c r="A108" s="31" t="n">
        <v>2021</v>
      </c>
      <c r="B108" s="31" t="n">
        <v>54</v>
      </c>
      <c r="C108" s="31" t="inlineStr">
        <is>
          <t>トータルヒートの2020</t>
        </is>
      </c>
      <c r="D108" s="31" t="inlineStr">
        <is>
          <t>サーマルソアリング (Thermal Soaring)</t>
        </is>
      </c>
      <c r="E108" s="31" t="inlineStr">
        <is>
          <t>ドゥラメンテ</t>
        </is>
      </c>
      <c r="F108" s="31" t="inlineStr">
        <is>
          <t>メス</t>
        </is>
      </c>
      <c r="G108" s="31" t="n">
        <v>3</v>
      </c>
      <c r="H108" s="31" t="n">
        <v>9</v>
      </c>
      <c r="I108" s="31" t="n">
        <v>3</v>
      </c>
      <c r="J108" s="31" t="n">
        <v>3000</v>
      </c>
      <c r="K108" s="31" t="n">
        <v>469</v>
      </c>
      <c r="L108" s="31" t="n">
        <v>154.5</v>
      </c>
      <c r="M108" s="31" t="n">
        <v>176</v>
      </c>
      <c r="N108" s="31" t="n">
        <v>21</v>
      </c>
      <c r="O108" s="31" t="n">
        <v>400</v>
      </c>
      <c r="P108" s="31" t="inlineStr">
        <is>
          <t xml:space="preserve">藤原英昭 </t>
        </is>
      </c>
      <c r="Q108" s="31" t="inlineStr">
        <is>
          <t>20戦4勝</t>
        </is>
      </c>
      <c r="R108" s="31" t="n">
        <v>4</v>
      </c>
      <c r="S108" s="31" t="n">
        <v>0</v>
      </c>
      <c r="T108" s="31" t="n">
        <v>7046</v>
      </c>
      <c r="U108" s="31" t="n">
        <v>750</v>
      </c>
      <c r="V108" s="31" t="n">
        <v>2.6</v>
      </c>
      <c r="W108" s="31" t="n">
        <v>0</v>
      </c>
      <c r="X108" s="31" t="inlineStr">
        <is>
          <t>23'トルマリンS(3勝クラス)23'3歳以上2勝クラス--&gt;</t>
        </is>
      </c>
      <c r="Y108" s="31" t="n">
        <v>2</v>
      </c>
      <c r="Z108" s="31" t="inlineStr">
        <is>
          <t>価格帯・420kg+</t>
        </is>
      </c>
    </row>
    <row r="109" ht="15" customHeight="1" s="19">
      <c r="A109" s="31" t="n">
        <v>2021</v>
      </c>
      <c r="B109" s="31" t="n">
        <v>57</v>
      </c>
      <c r="C109" s="31" t="inlineStr">
        <is>
          <t>ディオジェーヌの2020</t>
        </is>
      </c>
      <c r="D109" s="31" t="inlineStr">
        <is>
          <t>ディオファントス (Diophantus)</t>
        </is>
      </c>
      <c r="E109" s="31" t="inlineStr">
        <is>
          <t>モーリス</t>
        </is>
      </c>
      <c r="F109" s="31" t="inlineStr">
        <is>
          <t>牡</t>
        </is>
      </c>
      <c r="G109" s="31" t="n">
        <v>4</v>
      </c>
      <c r="H109" s="31" t="n">
        <v>10</v>
      </c>
      <c r="I109" s="31" t="n">
        <v>4</v>
      </c>
      <c r="J109" s="31" t="n">
        <v>3200</v>
      </c>
      <c r="K109" s="31" t="n">
        <v>438</v>
      </c>
      <c r="L109" s="31" t="n">
        <v>154</v>
      </c>
      <c r="M109" s="31" t="n">
        <v>174</v>
      </c>
      <c r="N109" s="31" t="n">
        <v>20.8</v>
      </c>
      <c r="O109" s="31" t="n">
        <v>400</v>
      </c>
      <c r="P109" s="31" t="inlineStr">
        <is>
          <t xml:space="preserve">斉藤崇史 </t>
        </is>
      </c>
      <c r="Q109" s="31" t="inlineStr">
        <is>
          <t>54戦2勝</t>
        </is>
      </c>
      <c r="R109" s="31" t="n">
        <v>0</v>
      </c>
      <c r="S109" s="31" t="n">
        <v>2</v>
      </c>
      <c r="T109" s="31" t="n">
        <v>593</v>
      </c>
      <c r="U109" s="31" t="n">
        <v>353</v>
      </c>
      <c r="V109" s="31" t="n">
        <v>0.3</v>
      </c>
      <c r="W109" s="31" t="n">
        <v>0</v>
      </c>
      <c r="X109" s="31" t="inlineStr">
        <is>
          <t>C2一C2七組--&gt;</t>
        </is>
      </c>
      <c r="Y109" s="31" t="n">
        <v>3</v>
      </c>
      <c r="Z109" s="31" t="inlineStr">
        <is>
          <t>牡・価格帯・420kg+</t>
        </is>
      </c>
    </row>
    <row r="110" ht="15" customHeight="1" s="19">
      <c r="A110" s="31" t="n">
        <v>2021</v>
      </c>
      <c r="B110" s="31" t="n">
        <v>65</v>
      </c>
      <c r="C110" s="31" t="inlineStr">
        <is>
          <t>サンブルエミューズの2020</t>
        </is>
      </c>
      <c r="D110" s="31" t="inlineStr">
        <is>
          <t>ラヴェル (Ravel)</t>
        </is>
      </c>
      <c r="E110" s="31" t="inlineStr">
        <is>
          <t>キタサンブラック</t>
        </is>
      </c>
      <c r="F110" s="31" t="inlineStr">
        <is>
          <t>メス</t>
        </is>
      </c>
      <c r="G110" s="31" t="n">
        <v>2</v>
      </c>
      <c r="H110" s="31" t="n">
        <v>10</v>
      </c>
      <c r="I110" s="31" t="n">
        <v>4</v>
      </c>
      <c r="J110" s="31" t="n">
        <v>3000</v>
      </c>
      <c r="K110" s="31" t="n">
        <v>469</v>
      </c>
      <c r="L110" s="31" t="n">
        <v>161</v>
      </c>
      <c r="M110" s="31" t="n">
        <v>183</v>
      </c>
      <c r="N110" s="31" t="n">
        <v>19.8</v>
      </c>
      <c r="O110" s="31" t="n">
        <v>400</v>
      </c>
      <c r="P110" s="31" t="inlineStr">
        <is>
          <t xml:space="preserve">矢作芳人 </t>
        </is>
      </c>
      <c r="Q110" s="31" t="inlineStr">
        <is>
          <t>17戦3勝</t>
        </is>
      </c>
      <c r="R110" s="31" t="n">
        <v>3</v>
      </c>
      <c r="S110" s="31" t="n">
        <v>0</v>
      </c>
      <c r="T110" s="31" t="n">
        <v>16594</v>
      </c>
      <c r="U110" s="31" t="n">
        <v>0</v>
      </c>
      <c r="V110" s="31" t="n">
        <v>5.53</v>
      </c>
      <c r="W110" s="31" t="n">
        <v>1</v>
      </c>
      <c r="X110" s="31" t="inlineStr">
        <is>
          <t>24'チャレンジC(G3)22'アルテミスS(G3)--&gt;</t>
        </is>
      </c>
      <c r="Y110" s="31" t="n">
        <v>2</v>
      </c>
      <c r="Z110" s="31" t="inlineStr">
        <is>
          <t>価格帯・420kg+</t>
        </is>
      </c>
    </row>
    <row r="111" ht="15" customHeight="1" s="19">
      <c r="A111" s="31" t="n">
        <v>2021</v>
      </c>
      <c r="B111" s="31" t="n">
        <v>69</v>
      </c>
      <c r="C111" s="31" t="inlineStr">
        <is>
          <t>アウェイクの2020</t>
        </is>
      </c>
      <c r="D111" s="31" t="inlineStr">
        <is>
          <t>ブライトサイン (Bright Sign)</t>
        </is>
      </c>
      <c r="E111" s="31" t="inlineStr">
        <is>
          <t>ハービンジャー</t>
        </is>
      </c>
      <c r="F111" s="31" t="inlineStr">
        <is>
          <t>メス</t>
        </is>
      </c>
      <c r="G111" s="31" t="n">
        <v>2</v>
      </c>
      <c r="H111" s="31" t="n">
        <v>7</v>
      </c>
      <c r="I111" s="31" t="n">
        <v>2</v>
      </c>
      <c r="J111" s="31" t="n">
        <v>2000</v>
      </c>
      <c r="K111" s="31" t="n">
        <v>437</v>
      </c>
      <c r="L111" s="31" t="n">
        <v>154</v>
      </c>
      <c r="M111" s="31" t="n">
        <v>173.5</v>
      </c>
      <c r="N111" s="31" t="n">
        <v>20.1</v>
      </c>
      <c r="O111" s="31" t="n">
        <v>400</v>
      </c>
      <c r="P111" s="31" t="inlineStr">
        <is>
          <t xml:space="preserve">須貝尚介 </t>
        </is>
      </c>
      <c r="Q111" s="31" t="inlineStr">
        <is>
          <t>17戦1勝</t>
        </is>
      </c>
      <c r="R111" s="31" t="n">
        <v>1</v>
      </c>
      <c r="S111" s="31" t="n">
        <v>0</v>
      </c>
      <c r="T111" s="31" t="n">
        <v>707</v>
      </c>
      <c r="U111" s="31" t="n">
        <v>0</v>
      </c>
      <c r="V111" s="31" t="n">
        <v>0.35</v>
      </c>
      <c r="W111" s="31" t="n">
        <v>0</v>
      </c>
      <c r="X111" s="31" t="inlineStr">
        <is>
          <t>22'2歳未勝利--&gt;</t>
        </is>
      </c>
      <c r="Y111" s="31" t="n">
        <v>1</v>
      </c>
      <c r="Z111" s="31" t="inlineStr">
        <is>
          <t>420kg+</t>
        </is>
      </c>
    </row>
    <row r="112" ht="15" customHeight="1" s="19">
      <c r="A112" s="31" t="n">
        <v>2021</v>
      </c>
      <c r="B112" s="31" t="n">
        <v>71</v>
      </c>
      <c r="C112" s="31" t="inlineStr">
        <is>
          <t>ジュモーの2020</t>
        </is>
      </c>
      <c r="D112" s="31" t="inlineStr">
        <is>
          <t>シュタイナー (Steiner)</t>
        </is>
      </c>
      <c r="E112" s="31" t="inlineStr">
        <is>
          <t>ルーラーシップ</t>
        </is>
      </c>
      <c r="F112" s="31" t="inlineStr">
        <is>
          <t>牡</t>
        </is>
      </c>
      <c r="G112" s="31" t="n">
        <v>3</v>
      </c>
      <c r="H112" s="31" t="n">
        <v>14</v>
      </c>
      <c r="I112" s="31" t="n">
        <v>8</v>
      </c>
      <c r="J112" s="31" t="n">
        <v>4000</v>
      </c>
      <c r="K112" s="31" t="n">
        <v>420</v>
      </c>
      <c r="L112" s="31" t="n">
        <v>152</v>
      </c>
      <c r="M112" s="31" t="n">
        <v>166.5</v>
      </c>
      <c r="N112" s="31" t="n">
        <v>20.5</v>
      </c>
      <c r="O112" s="31" t="n">
        <v>400</v>
      </c>
      <c r="P112" s="31" t="inlineStr">
        <is>
          <t xml:space="preserve">池江泰寿 </t>
        </is>
      </c>
      <c r="Q112" s="31" t="inlineStr">
        <is>
          <t>78戦1勝</t>
        </is>
      </c>
      <c r="R112" s="31" t="n">
        <v>0</v>
      </c>
      <c r="S112" s="31" t="n">
        <v>1</v>
      </c>
      <c r="T112" s="31" t="n">
        <v>0</v>
      </c>
      <c r="U112" s="31" t="n">
        <v>289</v>
      </c>
      <c r="V112" s="31" t="n">
        <v>0.07000000000000001</v>
      </c>
      <c r="W112" s="31" t="n">
        <v>0</v>
      </c>
      <c r="X112" s="31" t="inlineStr">
        <is>
          <t>鎖鋳刀サリィデビュー1周年記念--&gt;</t>
        </is>
      </c>
      <c r="Y112" s="31" t="n">
        <v>2</v>
      </c>
      <c r="Z112" s="31" t="inlineStr">
        <is>
          <t>牡・420kg+</t>
        </is>
      </c>
    </row>
    <row r="113" ht="15" customHeight="1" s="19">
      <c r="A113" s="31" t="n">
        <v>2021</v>
      </c>
      <c r="B113" s="31" t="n">
        <v>72</v>
      </c>
      <c r="C113" s="31" t="inlineStr">
        <is>
          <t>フォルテピアノの2020</t>
        </is>
      </c>
      <c r="D113" s="31" t="inlineStr">
        <is>
          <t>ストリンジェンド (Stringendo)</t>
        </is>
      </c>
      <c r="E113" s="31" t="inlineStr">
        <is>
          <t>キンシャサノキセキ</t>
        </is>
      </c>
      <c r="F113" s="31" t="inlineStr">
        <is>
          <t>牡</t>
        </is>
      </c>
      <c r="G113" s="31" t="n">
        <v>2</v>
      </c>
      <c r="H113" s="31" t="n">
        <v>17</v>
      </c>
      <c r="I113" s="31" t="n">
        <v>10</v>
      </c>
      <c r="J113" s="31" t="n">
        <v>2200</v>
      </c>
      <c r="K113" s="31" t="n">
        <v>456</v>
      </c>
      <c r="L113" s="31" t="n">
        <v>156</v>
      </c>
      <c r="M113" s="31" t="n">
        <v>173.5</v>
      </c>
      <c r="N113" s="31" t="n">
        <v>20</v>
      </c>
      <c r="O113" s="31" t="n">
        <v>400</v>
      </c>
      <c r="P113" s="31" t="inlineStr">
        <is>
          <t xml:space="preserve">音無秀孝 </t>
        </is>
      </c>
      <c r="Q113" s="31" t="inlineStr">
        <is>
          <t>35戦2勝</t>
        </is>
      </c>
      <c r="R113" s="31" t="n">
        <v>2</v>
      </c>
      <c r="S113" s="31" t="n">
        <v>0</v>
      </c>
      <c r="T113" s="31" t="n">
        <v>6363</v>
      </c>
      <c r="U113" s="31" t="n">
        <v>0</v>
      </c>
      <c r="V113" s="31" t="n">
        <v>2.89</v>
      </c>
      <c r="W113" s="31" t="n">
        <v>0</v>
      </c>
      <c r="X113" s="31" t="inlineStr">
        <is>
          <t>23'3歳以上1勝クラス22'2歳未勝利--&gt;</t>
        </is>
      </c>
      <c r="Y113" s="31" t="n">
        <v>2</v>
      </c>
      <c r="Z113" s="31" t="inlineStr">
        <is>
          <t>牡・420kg+</t>
        </is>
      </c>
    </row>
    <row r="114" ht="15" customHeight="1" s="19">
      <c r="A114" s="31" t="n">
        <v>2021</v>
      </c>
      <c r="B114" s="31" t="n">
        <v>76</v>
      </c>
      <c r="C114" s="31" t="inlineStr">
        <is>
          <t>エスティタートの2020</t>
        </is>
      </c>
      <c r="D114" s="31" t="inlineStr">
        <is>
          <t>ヴィヴィッシモ (Vivisimo)</t>
        </is>
      </c>
      <c r="E114" s="31" t="inlineStr">
        <is>
          <t>ジャスタウェイ</t>
        </is>
      </c>
      <c r="F114" s="31" t="inlineStr">
        <is>
          <t>牡</t>
        </is>
      </c>
      <c r="G114" s="31" t="n">
        <v>3</v>
      </c>
      <c r="H114" s="31" t="n">
        <v>7</v>
      </c>
      <c r="I114" s="31" t="n">
        <v>1</v>
      </c>
      <c r="J114" s="31" t="n">
        <v>2800</v>
      </c>
      <c r="K114" s="31" t="n">
        <v>422</v>
      </c>
      <c r="L114" s="31" t="n">
        <v>149</v>
      </c>
      <c r="M114" s="31" t="n">
        <v>169</v>
      </c>
      <c r="N114" s="31" t="n">
        <v>19.5</v>
      </c>
      <c r="O114" s="31" t="n">
        <v>400</v>
      </c>
      <c r="P114" s="31" t="inlineStr">
        <is>
          <t xml:space="preserve">松永幹夫 </t>
        </is>
      </c>
      <c r="Q114" s="31" t="inlineStr">
        <is>
          <t>18戦1勝</t>
        </is>
      </c>
      <c r="R114" s="31" t="n">
        <v>1</v>
      </c>
      <c r="S114" s="31" t="n">
        <v>0</v>
      </c>
      <c r="T114" s="31" t="n">
        <v>1763</v>
      </c>
      <c r="U114" s="31" t="n">
        <v>0</v>
      </c>
      <c r="V114" s="31" t="n">
        <v>0.63</v>
      </c>
      <c r="W114" s="31" t="n">
        <v>0</v>
      </c>
      <c r="X114" s="31" t="inlineStr">
        <is>
          <t>23'3歳未勝利--&gt;</t>
        </is>
      </c>
      <c r="Y114" s="31" t="n">
        <v>3</v>
      </c>
      <c r="Z114" s="31" t="inlineStr">
        <is>
          <t>牡・価格帯・420kg+</t>
        </is>
      </c>
    </row>
    <row r="115" ht="15" customHeight="1" s="19">
      <c r="A115" s="31" t="n">
        <v>2021</v>
      </c>
      <c r="B115" s="31" t="n">
        <v>78</v>
      </c>
      <c r="C115" s="31" t="inlineStr">
        <is>
          <t>ピンクアリエスの2020</t>
        </is>
      </c>
      <c r="D115" s="31" t="inlineStr">
        <is>
          <t>ラスハンメル (Ras Hammel)</t>
        </is>
      </c>
      <c r="E115" s="31" t="inlineStr">
        <is>
          <t>シルバーステート</t>
        </is>
      </c>
      <c r="F115" s="31" t="inlineStr">
        <is>
          <t>牡</t>
        </is>
      </c>
      <c r="G115" s="31" t="n">
        <v>4</v>
      </c>
      <c r="H115" s="31" t="n">
        <v>13</v>
      </c>
      <c r="I115" s="31" t="n">
        <v>9</v>
      </c>
      <c r="J115" s="31" t="n">
        <v>3600</v>
      </c>
      <c r="K115" s="31" t="n">
        <v>477</v>
      </c>
      <c r="L115" s="31" t="n">
        <v>157.5</v>
      </c>
      <c r="M115" s="31" t="n">
        <v>178</v>
      </c>
      <c r="N115" s="31" t="n">
        <v>22</v>
      </c>
      <c r="O115" s="31" t="n">
        <v>400</v>
      </c>
      <c r="P115" s="31" t="inlineStr">
        <is>
          <t xml:space="preserve">松永幹夫 </t>
        </is>
      </c>
      <c r="Q115" s="31" t="inlineStr">
        <is>
          <t>16戦2勝</t>
        </is>
      </c>
      <c r="R115" s="31" t="n">
        <v>2</v>
      </c>
      <c r="S115" s="31" t="n">
        <v>0</v>
      </c>
      <c r="T115" s="31" t="n">
        <v>3263</v>
      </c>
      <c r="U115" s="31" t="n">
        <v>0</v>
      </c>
      <c r="V115" s="31" t="n">
        <v>0.91</v>
      </c>
      <c r="W115" s="31" t="n">
        <v>0</v>
      </c>
      <c r="X115" s="31" t="inlineStr">
        <is>
          <t>24'4歳以上1勝クラス22'2歳未勝利--&gt;</t>
        </is>
      </c>
      <c r="Y115" s="31" t="n">
        <v>3</v>
      </c>
      <c r="Z115" s="31" t="inlineStr">
        <is>
          <t>牡・価格帯・420kg+</t>
        </is>
      </c>
    </row>
    <row r="116" ht="15" customHeight="1" s="19">
      <c r="A116" s="31" t="n">
        <v>2021</v>
      </c>
      <c r="B116" s="31" t="n">
        <v>79</v>
      </c>
      <c r="C116" s="31" t="inlineStr">
        <is>
          <t>ラテアートの2020</t>
        </is>
      </c>
      <c r="D116" s="31" t="inlineStr">
        <is>
          <t>クロスリーフ (Cross Leaf)</t>
        </is>
      </c>
      <c r="E116" s="31" t="inlineStr">
        <is>
          <t>シルバーステート</t>
        </is>
      </c>
      <c r="F116" s="31" t="inlineStr">
        <is>
          <t>メス</t>
        </is>
      </c>
      <c r="G116" s="31" t="n">
        <v>4</v>
      </c>
      <c r="H116" s="31" t="n">
        <v>12</v>
      </c>
      <c r="I116" s="31" t="n">
        <v>6</v>
      </c>
      <c r="J116" s="31" t="n">
        <v>2000</v>
      </c>
      <c r="K116" s="31" t="n">
        <v>444</v>
      </c>
      <c r="L116" s="31" t="n">
        <v>153.5</v>
      </c>
      <c r="M116" s="31" t="n">
        <v>173.5</v>
      </c>
      <c r="N116" s="31" t="n">
        <v>21</v>
      </c>
      <c r="O116" s="31" t="n">
        <v>400</v>
      </c>
      <c r="P116" s="31" t="inlineStr">
        <is>
          <t xml:space="preserve">池江泰寿 </t>
        </is>
      </c>
      <c r="Q116" s="31" t="inlineStr">
        <is>
          <t>27戦0勝</t>
        </is>
      </c>
      <c r="R116" s="31" t="n">
        <v>0</v>
      </c>
      <c r="S116" s="31" t="n">
        <v>0</v>
      </c>
      <c r="T116" s="31" t="n">
        <v>110</v>
      </c>
      <c r="U116" s="31" t="n">
        <v>67</v>
      </c>
      <c r="V116" s="31" t="n">
        <v>0.09</v>
      </c>
      <c r="W116" s="31" t="n">
        <v>0</v>
      </c>
      <c r="X116" s="31" t="inlineStr">
        <is>
          <t>--&gt;</t>
        </is>
      </c>
      <c r="Y116" s="31" t="n">
        <v>1</v>
      </c>
      <c r="Z116" s="31" t="inlineStr">
        <is>
          <t>420kg+</t>
        </is>
      </c>
    </row>
    <row r="117" ht="15" customHeight="1" s="19">
      <c r="A117" s="31" t="n">
        <v>2021</v>
      </c>
      <c r="B117" s="31" t="n">
        <v>86</v>
      </c>
      <c r="C117" s="31" t="inlineStr">
        <is>
          <t>シンハリーズの2020</t>
        </is>
      </c>
      <c r="D117" s="31" t="inlineStr">
        <is>
          <t>ジャミーレ (Jamileh)</t>
        </is>
      </c>
      <c r="E117" s="31" t="inlineStr">
        <is>
          <t>リアルインパクト</t>
        </is>
      </c>
      <c r="F117" s="31" t="inlineStr">
        <is>
          <t>メス</t>
        </is>
      </c>
      <c r="G117" s="31" t="n">
        <v>3</v>
      </c>
      <c r="H117" s="31" t="n">
        <v>18</v>
      </c>
      <c r="I117" s="31" t="n">
        <v>12</v>
      </c>
      <c r="J117" s="31" t="n">
        <v>3200</v>
      </c>
      <c r="K117" s="31" t="n">
        <v>437</v>
      </c>
      <c r="L117" s="31" t="n">
        <v>156</v>
      </c>
      <c r="M117" s="31" t="n">
        <v>174</v>
      </c>
      <c r="N117" s="31" t="n">
        <v>19.5</v>
      </c>
      <c r="O117" s="31" t="n">
        <v>400</v>
      </c>
      <c r="P117" s="31" t="inlineStr">
        <is>
          <t xml:space="preserve">斉藤崇史 </t>
        </is>
      </c>
      <c r="Q117" s="31" t="inlineStr">
        <is>
          <t>7戦2勝</t>
        </is>
      </c>
      <c r="R117" s="31" t="n">
        <v>2</v>
      </c>
      <c r="S117" s="31" t="n">
        <v>0</v>
      </c>
      <c r="T117" s="31" t="n">
        <v>2053</v>
      </c>
      <c r="U117" s="31" t="n">
        <v>0</v>
      </c>
      <c r="V117" s="31" t="n">
        <v>0.64</v>
      </c>
      <c r="W117" s="31" t="n">
        <v>0</v>
      </c>
      <c r="X117" s="31" t="inlineStr">
        <is>
          <t>24'4歳以上1勝クラス24'4歳以上1勝クラス--&gt;</t>
        </is>
      </c>
      <c r="Y117" s="31" t="n">
        <v>2</v>
      </c>
      <c r="Z117" s="31" t="inlineStr">
        <is>
          <t>価格帯・420kg+</t>
        </is>
      </c>
    </row>
    <row r="118" ht="15" customHeight="1" s="19">
      <c r="A118" s="31" t="n">
        <v>2021</v>
      </c>
      <c r="B118" s="31" t="n">
        <v>87</v>
      </c>
      <c r="C118" s="31" t="inlineStr">
        <is>
          <t>グローバルビューティの2020</t>
        </is>
      </c>
      <c r="D118" s="31" t="inlineStr">
        <is>
          <t>パルクリチュード (Pulchritude)</t>
        </is>
      </c>
      <c r="E118" s="31" t="inlineStr">
        <is>
          <t>Gun Runner</t>
        </is>
      </c>
      <c r="F118" s="31" t="inlineStr">
        <is>
          <t>メス</t>
        </is>
      </c>
      <c r="G118" s="31" t="n">
        <v>5</v>
      </c>
      <c r="H118" s="31" t="n">
        <v>6</v>
      </c>
      <c r="I118" s="31" t="n">
        <v>1</v>
      </c>
      <c r="J118" s="31" t="n">
        <v>2600</v>
      </c>
      <c r="K118" s="31" t="n">
        <v>401</v>
      </c>
      <c r="L118" s="31" t="n">
        <v>150</v>
      </c>
      <c r="M118" s="31" t="n">
        <v>165.5</v>
      </c>
      <c r="N118" s="31" t="n">
        <v>19.5</v>
      </c>
      <c r="O118" s="31" t="n">
        <v>400</v>
      </c>
      <c r="P118" s="31" t="inlineStr">
        <is>
          <t xml:space="preserve">松永幹夫 </t>
        </is>
      </c>
      <c r="Q118" s="31" t="inlineStr">
        <is>
          <t>21戦3勝</t>
        </is>
      </c>
      <c r="R118" s="31" t="n">
        <v>3</v>
      </c>
      <c r="S118" s="31" t="n">
        <v>0</v>
      </c>
      <c r="T118" s="31" t="n">
        <v>7302</v>
      </c>
      <c r="U118" s="31" t="n">
        <v>0</v>
      </c>
      <c r="V118" s="31" t="n">
        <v>2.81</v>
      </c>
      <c r="W118" s="31" t="n">
        <v>0</v>
      </c>
      <c r="X118" s="31" t="inlineStr">
        <is>
          <t>25'遠州灘特別(2勝クラス)25'4歳以上1勝クラス--&gt;</t>
        </is>
      </c>
      <c r="Y118" s="31" t="n">
        <v>1</v>
      </c>
      <c r="Z118" s="31" t="inlineStr">
        <is>
          <t>価格帯</t>
        </is>
      </c>
    </row>
    <row r="119" ht="15" customHeight="1" s="19">
      <c r="A119" s="31" t="n">
        <v>2021</v>
      </c>
      <c r="B119" s="31" t="n">
        <v>3</v>
      </c>
      <c r="C119" s="31" t="inlineStr">
        <is>
          <t>ラドラーダの2020</t>
        </is>
      </c>
      <c r="D119" s="31" t="inlineStr">
        <is>
          <t>ラディアンシア (Radiancia)</t>
        </is>
      </c>
      <c r="E119" s="31" t="inlineStr">
        <is>
          <t>ロードカナロア</t>
        </is>
      </c>
      <c r="F119" s="31" t="inlineStr">
        <is>
          <t>メス</t>
        </is>
      </c>
      <c r="G119" s="31" t="n">
        <v>1</v>
      </c>
      <c r="H119" s="31" t="n">
        <v>14</v>
      </c>
      <c r="I119" s="31" t="n">
        <v>7</v>
      </c>
      <c r="J119" s="31" t="n">
        <v>7000</v>
      </c>
      <c r="K119" s="31" t="n">
        <v>454</v>
      </c>
      <c r="L119" s="31" t="n">
        <v>154</v>
      </c>
      <c r="M119" s="31" t="n">
        <v>174</v>
      </c>
      <c r="N119" s="31" t="n">
        <v>20</v>
      </c>
      <c r="O119" s="31" t="n">
        <v>400</v>
      </c>
      <c r="P119" s="31" t="inlineStr">
        <is>
          <t xml:space="preserve">栗田徹 </t>
        </is>
      </c>
      <c r="Q119" s="31" t="inlineStr">
        <is>
          <t>0戦0勝</t>
        </is>
      </c>
      <c r="R119" s="31" t="n">
        <v>0</v>
      </c>
      <c r="S119" s="31" t="n">
        <v>0</v>
      </c>
      <c r="T119" s="31" t="n">
        <v>0</v>
      </c>
      <c r="U119" s="31" t="n">
        <v>0</v>
      </c>
      <c r="V119" s="31" t="n">
        <v>0</v>
      </c>
      <c r="W119" s="31" t="n">
        <v>0</v>
      </c>
      <c r="X119" s="31" t="inlineStr">
        <is>
          <t>--&gt;</t>
        </is>
      </c>
      <c r="Y119" s="31" t="n">
        <v>1</v>
      </c>
      <c r="Z119" s="31" t="inlineStr">
        <is>
          <t>420kg+</t>
        </is>
      </c>
    </row>
    <row r="120" ht="15" customHeight="1" s="19">
      <c r="A120" s="31" t="n">
        <v>2021</v>
      </c>
      <c r="B120" s="31" t="n">
        <v>5</v>
      </c>
      <c r="C120" s="31" t="inlineStr">
        <is>
          <t>アドマイヤリードの2020</t>
        </is>
      </c>
      <c r="D120" s="31" t="inlineStr">
        <is>
          <t>キュムラス (Cumulus)</t>
        </is>
      </c>
      <c r="E120" s="31" t="inlineStr">
        <is>
          <t>ロードカナロア</t>
        </is>
      </c>
      <c r="F120" s="31" t="inlineStr">
        <is>
          <t>メス</t>
        </is>
      </c>
      <c r="G120" s="31" t="n">
        <v>3</v>
      </c>
      <c r="H120" s="31" t="n">
        <v>7</v>
      </c>
      <c r="I120" s="31" t="n">
        <v>1</v>
      </c>
      <c r="J120" s="31" t="n">
        <v>5000</v>
      </c>
      <c r="K120" s="31" t="n">
        <v>423</v>
      </c>
      <c r="L120" s="31" t="n">
        <v>150</v>
      </c>
      <c r="M120" s="31" t="n">
        <v>173</v>
      </c>
      <c r="N120" s="31" t="n">
        <v>19.9</v>
      </c>
      <c r="O120" s="31" t="n">
        <v>400</v>
      </c>
      <c r="P120" s="31" t="inlineStr">
        <is>
          <t xml:space="preserve">宮田敬介 </t>
        </is>
      </c>
      <c r="Q120" s="31" t="inlineStr">
        <is>
          <t>3戦0勝</t>
        </is>
      </c>
      <c r="R120" s="31" t="n">
        <v>0</v>
      </c>
      <c r="S120" s="31" t="n">
        <v>0</v>
      </c>
      <c r="T120" s="31" t="n">
        <v>0</v>
      </c>
      <c r="U120" s="31" t="n">
        <v>0</v>
      </c>
      <c r="V120" s="31" t="n">
        <v>0</v>
      </c>
      <c r="W120" s="31" t="n">
        <v>0</v>
      </c>
      <c r="X120" s="31" t="inlineStr">
        <is>
          <t>--&gt;</t>
        </is>
      </c>
      <c r="Y120" s="31" t="n">
        <v>1</v>
      </c>
      <c r="Z120" s="31" t="inlineStr">
        <is>
          <t>420kg+</t>
        </is>
      </c>
    </row>
    <row r="121" ht="15" customHeight="1" s="19">
      <c r="A121" s="31" t="n">
        <v>2021</v>
      </c>
      <c r="B121" s="31" t="n">
        <v>6</v>
      </c>
      <c r="C121" s="31" t="inlineStr">
        <is>
          <t>クルージンミジーの2020</t>
        </is>
      </c>
      <c r="D121" s="31" t="inlineStr">
        <is>
          <t>ファンネルマーク (Funnel Mark)</t>
        </is>
      </c>
      <c r="E121" s="31" t="inlineStr">
        <is>
          <t>ハーツクライ</t>
        </is>
      </c>
      <c r="F121" s="31" t="inlineStr">
        <is>
          <t>牡</t>
        </is>
      </c>
      <c r="G121" s="31" t="n">
        <v>5</v>
      </c>
      <c r="H121" s="31" t="n">
        <v>11</v>
      </c>
      <c r="I121" s="31" t="n">
        <v>6</v>
      </c>
      <c r="J121" s="31" t="n">
        <v>3400</v>
      </c>
      <c r="K121" s="31" t="n">
        <v>477</v>
      </c>
      <c r="L121" s="31" t="n">
        <v>151</v>
      </c>
      <c r="M121" s="31" t="n">
        <v>174.5</v>
      </c>
      <c r="N121" s="31" t="n">
        <v>21.5</v>
      </c>
      <c r="O121" s="31" t="n">
        <v>400</v>
      </c>
      <c r="P121" s="31" t="inlineStr">
        <is>
          <t xml:space="preserve">古賀慎明 </t>
        </is>
      </c>
      <c r="Q121" s="31" t="inlineStr">
        <is>
          <t>22戦1勝</t>
        </is>
      </c>
      <c r="R121" s="31" t="n">
        <v>0</v>
      </c>
      <c r="S121" s="31" t="n">
        <v>1</v>
      </c>
      <c r="T121" s="31" t="n">
        <v>140</v>
      </c>
      <c r="U121" s="31" t="n">
        <v>196</v>
      </c>
      <c r="V121" s="31" t="n">
        <v>0.1</v>
      </c>
      <c r="W121" s="31" t="n">
        <v>0</v>
      </c>
      <c r="X121" s="31" t="inlineStr">
        <is>
          <t>3歳 150万--&gt;</t>
        </is>
      </c>
      <c r="Y121" s="31" t="n">
        <v>3</v>
      </c>
      <c r="Z121" s="31" t="inlineStr">
        <is>
          <t>牡・価格帯・420kg+</t>
        </is>
      </c>
    </row>
    <row r="122" ht="15" customHeight="1" s="19">
      <c r="A122" s="31" t="n">
        <v>2021</v>
      </c>
      <c r="B122" s="31" t="n">
        <v>7</v>
      </c>
      <c r="C122" s="31" t="inlineStr">
        <is>
          <t>マイハッピーフェイスの2020</t>
        </is>
      </c>
      <c r="D122" s="31" t="inlineStr">
        <is>
          <t>レディエンフェイス (Radiant Face)</t>
        </is>
      </c>
      <c r="E122" s="31" t="inlineStr">
        <is>
          <t>ハーツクライ</t>
        </is>
      </c>
      <c r="F122" s="31" t="inlineStr">
        <is>
          <t>メス</t>
        </is>
      </c>
      <c r="G122" s="31" t="n">
        <v>4</v>
      </c>
      <c r="H122" s="31" t="n">
        <v>10</v>
      </c>
      <c r="I122" s="31" t="n">
        <v>5</v>
      </c>
      <c r="J122" s="31" t="n">
        <v>3000</v>
      </c>
      <c r="K122" s="31" t="n">
        <v>471</v>
      </c>
      <c r="L122" s="31" t="n">
        <v>159.5</v>
      </c>
      <c r="M122" s="31" t="n">
        <v>179.5</v>
      </c>
      <c r="N122" s="31" t="n">
        <v>21.4</v>
      </c>
      <c r="O122" s="31" t="n">
        <v>400</v>
      </c>
      <c r="P122" s="31" t="inlineStr">
        <is>
          <t xml:space="preserve">加藤征弘 </t>
        </is>
      </c>
      <c r="Q122" s="31" t="inlineStr">
        <is>
          <t>7戦0勝</t>
        </is>
      </c>
      <c r="R122" s="31" t="n">
        <v>0</v>
      </c>
      <c r="S122" s="31" t="n">
        <v>0</v>
      </c>
      <c r="T122" s="31" t="n">
        <v>735</v>
      </c>
      <c r="U122" s="31" t="n">
        <v>0</v>
      </c>
      <c r="V122" s="31" t="n">
        <v>0.24</v>
      </c>
      <c r="W122" s="31" t="n">
        <v>0</v>
      </c>
      <c r="X122" s="31" t="inlineStr">
        <is>
          <t>--&gt;</t>
        </is>
      </c>
      <c r="Y122" s="31" t="n">
        <v>2</v>
      </c>
      <c r="Z122" s="31" t="inlineStr">
        <is>
          <t>価格帯・420kg+</t>
        </is>
      </c>
    </row>
    <row r="123" ht="15" customHeight="1" s="19">
      <c r="A123" s="31" t="n">
        <v>2021</v>
      </c>
      <c r="B123" s="31" t="n">
        <v>8</v>
      </c>
      <c r="C123" s="31" t="inlineStr">
        <is>
          <t>ローガンサファイアの2020</t>
        </is>
      </c>
      <c r="D123" s="31" t="inlineStr">
        <is>
          <t>ゴールドシーン (Gold Sheen)</t>
        </is>
      </c>
      <c r="E123" s="31" t="inlineStr">
        <is>
          <t>エピファネイア</t>
        </is>
      </c>
      <c r="F123" s="31" t="inlineStr">
        <is>
          <t>牡</t>
        </is>
      </c>
      <c r="G123" s="31" t="n">
        <v>2</v>
      </c>
      <c r="H123" s="31" t="n">
        <v>10</v>
      </c>
      <c r="I123" s="31" t="n">
        <v>4</v>
      </c>
      <c r="J123" s="31" t="n">
        <v>5000</v>
      </c>
      <c r="K123" s="31" t="n">
        <v>445</v>
      </c>
      <c r="L123" s="31" t="n">
        <v>153</v>
      </c>
      <c r="M123" s="31" t="n">
        <v>169.5</v>
      </c>
      <c r="N123" s="31" t="n">
        <v>21</v>
      </c>
      <c r="O123" s="31" t="n">
        <v>400</v>
      </c>
      <c r="P123" s="31" t="inlineStr">
        <is>
          <t xml:space="preserve">林徹 </t>
        </is>
      </c>
      <c r="Q123" s="31" t="inlineStr">
        <is>
          <t>18戦1勝</t>
        </is>
      </c>
      <c r="R123" s="31" t="n">
        <v>1</v>
      </c>
      <c r="S123" s="31" t="n">
        <v>0</v>
      </c>
      <c r="T123" s="31" t="n">
        <v>2581</v>
      </c>
      <c r="U123" s="31" t="n">
        <v>0</v>
      </c>
      <c r="V123" s="31" t="n">
        <v>0.52</v>
      </c>
      <c r="W123" s="31" t="n">
        <v>0</v>
      </c>
      <c r="X123" s="31" t="inlineStr">
        <is>
          <t>23'3歳未勝利--&gt;</t>
        </is>
      </c>
      <c r="Y123" s="31" t="n">
        <v>2</v>
      </c>
      <c r="Z123" s="31" t="inlineStr">
        <is>
          <t>牡・420kg+</t>
        </is>
      </c>
    </row>
    <row r="124" ht="15" customHeight="1" s="19">
      <c r="A124" s="31" t="n">
        <v>2021</v>
      </c>
      <c r="B124" s="31" t="n">
        <v>10</v>
      </c>
      <c r="C124" s="31" t="inlineStr">
        <is>
          <t>プルメリアスターの2020</t>
        </is>
      </c>
      <c r="D124" s="31" t="inlineStr">
        <is>
          <t>ココクレーター (Koko Crater)</t>
        </is>
      </c>
      <c r="E124" s="31" t="inlineStr">
        <is>
          <t>エピファネイア</t>
        </is>
      </c>
      <c r="F124" s="31" t="inlineStr">
        <is>
          <t>メス</t>
        </is>
      </c>
      <c r="G124" s="31" t="n">
        <v>4</v>
      </c>
      <c r="H124" s="31" t="n">
        <v>8</v>
      </c>
      <c r="I124" s="31" t="n">
        <v>2</v>
      </c>
      <c r="J124" s="31" t="n">
        <v>3600</v>
      </c>
      <c r="K124" s="31" t="n">
        <v>407</v>
      </c>
      <c r="L124" s="31" t="n">
        <v>152</v>
      </c>
      <c r="M124" s="31" t="n">
        <v>168.5</v>
      </c>
      <c r="N124" s="31" t="n">
        <v>19.5</v>
      </c>
      <c r="O124" s="31" t="n">
        <v>400</v>
      </c>
      <c r="P124" s="31" t="inlineStr">
        <is>
          <t xml:space="preserve">木村哲也 </t>
        </is>
      </c>
      <c r="Q124" s="31" t="inlineStr">
        <is>
          <t>16戦3勝</t>
        </is>
      </c>
      <c r="R124" s="31" t="n">
        <v>3</v>
      </c>
      <c r="S124" s="31" t="n">
        <v>0</v>
      </c>
      <c r="T124" s="31" t="n">
        <v>4929</v>
      </c>
      <c r="U124" s="31" t="n">
        <v>0</v>
      </c>
      <c r="V124" s="31" t="n">
        <v>1.37</v>
      </c>
      <c r="W124" s="31" t="n">
        <v>0</v>
      </c>
      <c r="X124" s="31" t="inlineStr">
        <is>
          <t>24'4歳以上2勝クラス23'3歳以上1勝クラス--&gt;</t>
        </is>
      </c>
      <c r="Y124" s="31" t="n">
        <v>1</v>
      </c>
      <c r="Z124" s="31" t="inlineStr">
        <is>
          <t>価格帯</t>
        </is>
      </c>
    </row>
    <row r="125" ht="15" customHeight="1" s="19">
      <c r="A125" s="31" t="n">
        <v>2021</v>
      </c>
      <c r="B125" s="31" t="n">
        <v>11</v>
      </c>
      <c r="C125" s="31" t="inlineStr">
        <is>
          <t>モアザンセイクリッドの2020</t>
        </is>
      </c>
      <c r="D125" s="31" t="inlineStr">
        <is>
          <t>ドゥレッツァ (Durezza)</t>
        </is>
      </c>
      <c r="E125" s="31" t="inlineStr">
        <is>
          <t>ドゥラメンテ</t>
        </is>
      </c>
      <c r="F125" s="31" t="inlineStr">
        <is>
          <t>牡</t>
        </is>
      </c>
      <c r="G125" s="31" t="n">
        <v>4</v>
      </c>
      <c r="H125" s="31" t="n">
        <v>11</v>
      </c>
      <c r="I125" s="31" t="n">
        <v>5</v>
      </c>
      <c r="J125" s="31" t="n">
        <v>4000</v>
      </c>
      <c r="K125" s="31" t="n">
        <v>428</v>
      </c>
      <c r="L125" s="31" t="n">
        <v>154.5</v>
      </c>
      <c r="M125" s="31" t="n">
        <v>174</v>
      </c>
      <c r="N125" s="31" t="n">
        <v>20.5</v>
      </c>
      <c r="O125" s="31" t="n">
        <v>400</v>
      </c>
      <c r="P125" s="31" t="inlineStr">
        <is>
          <t xml:space="preserve">尾関知人 </t>
        </is>
      </c>
      <c r="Q125" s="31" t="inlineStr">
        <is>
          <t>13戦5勝</t>
        </is>
      </c>
      <c r="R125" s="31" t="n">
        <v>5</v>
      </c>
      <c r="S125" s="31" t="n">
        <v>0</v>
      </c>
      <c r="T125" s="31" t="n">
        <v>47217</v>
      </c>
      <c r="U125" s="31" t="n">
        <v>0</v>
      </c>
      <c r="V125" s="31" t="n">
        <v>11.8</v>
      </c>
      <c r="W125" s="31" t="n">
        <v>1</v>
      </c>
      <c r="X125" s="31" t="inlineStr">
        <is>
          <t>23'菊花賞(G1)23'日本海S(3勝クラス)--&gt;</t>
        </is>
      </c>
      <c r="Y125" s="31" t="n">
        <v>2</v>
      </c>
      <c r="Z125" s="31" t="inlineStr">
        <is>
          <t>牡・420kg+</t>
        </is>
      </c>
    </row>
    <row r="126" ht="15" customHeight="1" s="19">
      <c r="A126" s="31" t="n">
        <v>2021</v>
      </c>
      <c r="B126" s="31" t="n">
        <v>13</v>
      </c>
      <c r="C126" s="31" t="inlineStr">
        <is>
          <t>ブリガアルタの2020</t>
        </is>
      </c>
      <c r="D126" s="31" t="inlineStr">
        <is>
          <t>マルグアレイス (Marguareis)</t>
        </is>
      </c>
      <c r="E126" s="31" t="inlineStr">
        <is>
          <t>モーリス</t>
        </is>
      </c>
      <c r="F126" s="31" t="inlineStr">
        <is>
          <t>牡</t>
        </is>
      </c>
      <c r="G126" s="31" t="n">
        <v>2</v>
      </c>
      <c r="H126" s="31" t="n">
        <v>7</v>
      </c>
      <c r="I126" s="31" t="n">
        <v>1</v>
      </c>
      <c r="J126" s="31" t="n">
        <v>3000</v>
      </c>
      <c r="K126" s="31" t="n">
        <v>458</v>
      </c>
      <c r="L126" s="31" t="n">
        <v>154</v>
      </c>
      <c r="M126" s="31" t="n">
        <v>182</v>
      </c>
      <c r="N126" s="31" t="n">
        <v>20.5</v>
      </c>
      <c r="O126" s="31" t="n">
        <v>400</v>
      </c>
      <c r="P126" s="31" t="inlineStr">
        <is>
          <t xml:space="preserve">高橋文雅 </t>
        </is>
      </c>
      <c r="Q126" s="31" t="inlineStr">
        <is>
          <t>7戦0勝</t>
        </is>
      </c>
      <c r="R126" s="31" t="n">
        <v>0</v>
      </c>
      <c r="S126" s="31" t="n">
        <v>0</v>
      </c>
      <c r="T126" s="31" t="n">
        <v>0</v>
      </c>
      <c r="U126" s="31" t="n">
        <v>31</v>
      </c>
      <c r="V126" s="31" t="n">
        <v>0.01</v>
      </c>
      <c r="W126" s="31" t="n">
        <v>0</v>
      </c>
      <c r="X126" s="31" t="inlineStr">
        <is>
          <t>--&gt;</t>
        </is>
      </c>
      <c r="Y126" s="31" t="n">
        <v>3</v>
      </c>
      <c r="Z126" s="31" t="inlineStr">
        <is>
          <t>牡・価格帯・420kg+</t>
        </is>
      </c>
    </row>
    <row r="127" ht="15" customHeight="1" s="19">
      <c r="A127" s="31" t="n">
        <v>2021</v>
      </c>
      <c r="B127" s="31" t="n">
        <v>14</v>
      </c>
      <c r="C127" s="31" t="inlineStr">
        <is>
          <t>ルージュバックの2020</t>
        </is>
      </c>
      <c r="D127" s="31" t="inlineStr">
        <is>
          <t>フレーヴァード (Flavored)</t>
        </is>
      </c>
      <c r="E127" s="31" t="inlineStr">
        <is>
          <t>モーリス</t>
        </is>
      </c>
      <c r="F127" s="31" t="inlineStr">
        <is>
          <t>牡</t>
        </is>
      </c>
      <c r="G127" s="31" t="n">
        <v>2</v>
      </c>
      <c r="H127" s="31" t="n">
        <v>8</v>
      </c>
      <c r="I127" s="31" t="n">
        <v>2</v>
      </c>
      <c r="J127" s="31" t="n">
        <v>6000</v>
      </c>
      <c r="K127" s="31" t="n">
        <v>441</v>
      </c>
      <c r="L127" s="31" t="n">
        <v>152</v>
      </c>
      <c r="M127" s="31" t="n">
        <v>175.5</v>
      </c>
      <c r="N127" s="31" t="n">
        <v>19.1</v>
      </c>
      <c r="O127" s="31" t="n">
        <v>400</v>
      </c>
      <c r="P127" s="31" t="inlineStr">
        <is>
          <t xml:space="preserve">大竹正博 </t>
        </is>
      </c>
      <c r="Q127" s="31" t="inlineStr">
        <is>
          <t>13戦3勝</t>
        </is>
      </c>
      <c r="R127" s="31" t="n">
        <v>3</v>
      </c>
      <c r="S127" s="31" t="n">
        <v>0</v>
      </c>
      <c r="T127" s="31" t="n">
        <v>4387</v>
      </c>
      <c r="U127" s="31" t="n">
        <v>0</v>
      </c>
      <c r="V127" s="31" t="n">
        <v>0.73</v>
      </c>
      <c r="W127" s="31" t="n">
        <v>0</v>
      </c>
      <c r="X127" s="31" t="inlineStr">
        <is>
          <t>23'2003メモリアルシンボリクリスエスC(2勝クラス)23'3歳以上1勝クラス--&gt;</t>
        </is>
      </c>
      <c r="Y127" s="31" t="n">
        <v>2</v>
      </c>
      <c r="Z127" s="31" t="inlineStr">
        <is>
          <t>牡・420kg+</t>
        </is>
      </c>
    </row>
    <row r="128" ht="15" customHeight="1" s="19">
      <c r="A128" s="31" t="n">
        <v>2021</v>
      </c>
      <c r="B128" s="31" t="n">
        <v>15</v>
      </c>
      <c r="C128" s="31" t="inlineStr">
        <is>
          <t>ケイティーズハートの2020</t>
        </is>
      </c>
      <c r="D128" s="31" t="inlineStr">
        <is>
          <t>ペリファーニア (Perifania)</t>
        </is>
      </c>
      <c r="E128" s="31" t="inlineStr">
        <is>
          <t>モーリス</t>
        </is>
      </c>
      <c r="F128" s="31" t="inlineStr">
        <is>
          <t>メス</t>
        </is>
      </c>
      <c r="G128" s="31" t="n">
        <v>3</v>
      </c>
      <c r="H128" s="31" t="n">
        <v>11</v>
      </c>
      <c r="I128" s="31" t="n">
        <v>5</v>
      </c>
      <c r="J128" s="31" t="n">
        <v>5600</v>
      </c>
      <c r="K128" s="31" t="n">
        <v>476</v>
      </c>
      <c r="L128" s="31" t="n">
        <v>152</v>
      </c>
      <c r="M128" s="31" t="n">
        <v>178</v>
      </c>
      <c r="N128" s="31" t="n">
        <v>19.6</v>
      </c>
      <c r="O128" s="31" t="n">
        <v>400</v>
      </c>
      <c r="P128" s="31" t="inlineStr">
        <is>
          <t xml:space="preserve">鹿戸雄一 </t>
        </is>
      </c>
      <c r="Q128" s="31" t="inlineStr">
        <is>
          <t>13戦3勝</t>
        </is>
      </c>
      <c r="R128" s="31" t="n">
        <v>3</v>
      </c>
      <c r="S128" s="31" t="n">
        <v>0</v>
      </c>
      <c r="T128" s="31" t="n">
        <v>10030</v>
      </c>
      <c r="U128" s="31" t="n">
        <v>0</v>
      </c>
      <c r="V128" s="31" t="n">
        <v>1.79</v>
      </c>
      <c r="W128" s="31" t="n">
        <v>0</v>
      </c>
      <c r="X128" s="31" t="inlineStr">
        <is>
          <t>25'高尾特別(2勝クラス)24'4歳以上1勝クラス--&gt;</t>
        </is>
      </c>
      <c r="Y128" s="31" t="n">
        <v>1</v>
      </c>
      <c r="Z128" s="31" t="inlineStr">
        <is>
          <t>420kg+</t>
        </is>
      </c>
    </row>
    <row r="129" ht="15" customHeight="1" s="19">
      <c r="A129" s="31" t="n">
        <v>2021</v>
      </c>
      <c r="B129" s="31" t="n">
        <v>16</v>
      </c>
      <c r="C129" s="31" t="inlineStr">
        <is>
          <t>シュピッツェの2020</t>
        </is>
      </c>
      <c r="D129" s="31" t="inlineStr">
        <is>
          <t>エルフォルク (Erfolg)</t>
        </is>
      </c>
      <c r="E129" s="31" t="inlineStr">
        <is>
          <t>モーリス</t>
        </is>
      </c>
      <c r="F129" s="31" t="inlineStr">
        <is>
          <t>メス</t>
        </is>
      </c>
      <c r="G129" s="31" t="n">
        <v>4</v>
      </c>
      <c r="H129" s="31" t="n">
        <v>11</v>
      </c>
      <c r="I129" s="31" t="n">
        <v>5</v>
      </c>
      <c r="J129" s="31" t="n">
        <v>2400</v>
      </c>
      <c r="K129" s="31" t="n">
        <v>403</v>
      </c>
      <c r="L129" s="31" t="n">
        <v>155</v>
      </c>
      <c r="M129" s="31" t="n">
        <v>171</v>
      </c>
      <c r="N129" s="31" t="n">
        <v>18.6</v>
      </c>
      <c r="O129" s="31" t="n">
        <v>400</v>
      </c>
      <c r="P129" s="31" t="inlineStr">
        <is>
          <t xml:space="preserve">中舘英二 </t>
        </is>
      </c>
      <c r="Q129" s="31" t="inlineStr">
        <is>
          <t>18戦0勝</t>
        </is>
      </c>
      <c r="R129" s="31" t="n">
        <v>0</v>
      </c>
      <c r="S129" s="31" t="n">
        <v>0</v>
      </c>
      <c r="T129" s="31" t="n">
        <v>0</v>
      </c>
      <c r="U129" s="31" t="n">
        <v>52</v>
      </c>
      <c r="V129" s="31" t="n">
        <v>0.02</v>
      </c>
      <c r="W129" s="31" t="n">
        <v>0</v>
      </c>
      <c r="X129" s="31" t="inlineStr">
        <is>
          <t>--&gt;</t>
        </is>
      </c>
      <c r="Y129" s="31" t="n">
        <v>0</v>
      </c>
      <c r="Z129" s="31" t="inlineStr"/>
    </row>
    <row r="130" ht="15" customHeight="1" s="19">
      <c r="A130" s="31" t="n">
        <v>2021</v>
      </c>
      <c r="B130" s="31" t="n">
        <v>17</v>
      </c>
      <c r="C130" s="31" t="inlineStr">
        <is>
          <t>エンジェルフォールの2020</t>
        </is>
      </c>
      <c r="D130" s="31" t="inlineStr">
        <is>
          <t>グランサバナ (Gran Sabana)</t>
        </is>
      </c>
      <c r="E130" s="31" t="inlineStr">
        <is>
          <t>ドレフォン</t>
        </is>
      </c>
      <c r="F130" s="31" t="inlineStr">
        <is>
          <t>牡</t>
        </is>
      </c>
      <c r="G130" s="31" t="n">
        <v>4</v>
      </c>
      <c r="H130" s="31" t="n">
        <v>11</v>
      </c>
      <c r="I130" s="31" t="n">
        <v>7</v>
      </c>
      <c r="J130" s="31" t="n">
        <v>3000</v>
      </c>
      <c r="K130" s="31" t="n">
        <v>434</v>
      </c>
      <c r="L130" s="31" t="n">
        <v>151.5</v>
      </c>
      <c r="M130" s="31" t="n">
        <v>173</v>
      </c>
      <c r="N130" s="31" t="n">
        <v>20.6</v>
      </c>
      <c r="O130" s="31" t="n">
        <v>400</v>
      </c>
      <c r="P130" s="31" t="inlineStr">
        <is>
          <t xml:space="preserve">田村康仁 </t>
        </is>
      </c>
      <c r="Q130" s="31" t="inlineStr">
        <is>
          <t>17戦3勝</t>
        </is>
      </c>
      <c r="R130" s="31" t="n">
        <v>3</v>
      </c>
      <c r="S130" s="31" t="n">
        <v>0</v>
      </c>
      <c r="T130" s="31" t="n">
        <v>3906</v>
      </c>
      <c r="U130" s="31" t="n">
        <v>0</v>
      </c>
      <c r="V130" s="31" t="n">
        <v>1.3</v>
      </c>
      <c r="W130" s="31" t="n">
        <v>0</v>
      </c>
      <c r="X130" s="31" t="inlineStr">
        <is>
          <t>24'鎌ケ谷特別(2勝クラス)23'3歳以上1勝クラス--&gt;</t>
        </is>
      </c>
      <c r="Y130" s="31" t="n">
        <v>3</v>
      </c>
      <c r="Z130" s="31" t="inlineStr">
        <is>
          <t>牡・価格帯・420kg+</t>
        </is>
      </c>
    </row>
    <row r="131" ht="15" customHeight="1" s="19">
      <c r="A131" s="31" t="n">
        <v>2021</v>
      </c>
      <c r="B131" s="31" t="n">
        <v>18</v>
      </c>
      <c r="C131" s="31" t="inlineStr">
        <is>
          <t>バイラオーラの2020</t>
        </is>
      </c>
      <c r="D131" s="31" t="inlineStr">
        <is>
          <t>ソレア (Solea)</t>
        </is>
      </c>
      <c r="E131" s="31" t="inlineStr">
        <is>
          <t>ドレフォン</t>
        </is>
      </c>
      <c r="F131" s="31" t="inlineStr">
        <is>
          <t>メス</t>
        </is>
      </c>
      <c r="G131" s="31" t="n">
        <v>1</v>
      </c>
      <c r="H131" s="31" t="n">
        <v>14</v>
      </c>
      <c r="I131" s="31" t="n">
        <v>8</v>
      </c>
      <c r="J131" s="31" t="n">
        <v>2000</v>
      </c>
      <c r="K131" s="31" t="n">
        <v>431</v>
      </c>
      <c r="L131" s="31" t="n">
        <v>149.5</v>
      </c>
      <c r="M131" s="31" t="n">
        <v>171</v>
      </c>
      <c r="N131" s="31" t="n">
        <v>18.6</v>
      </c>
      <c r="O131" s="31" t="n">
        <v>400</v>
      </c>
      <c r="P131" s="31" t="inlineStr">
        <is>
          <t xml:space="preserve">和田正一郎 </t>
        </is>
      </c>
      <c r="Q131" s="31" t="inlineStr">
        <is>
          <t>38戦5勝</t>
        </is>
      </c>
      <c r="R131" s="31" t="n">
        <v>0</v>
      </c>
      <c r="S131" s="31" t="n">
        <v>5</v>
      </c>
      <c r="T131" s="31" t="n">
        <v>208</v>
      </c>
      <c r="U131" s="31" t="n">
        <v>1611</v>
      </c>
      <c r="V131" s="31" t="n">
        <v>0.91</v>
      </c>
      <c r="W131" s="31" t="n">
        <v>0</v>
      </c>
      <c r="X131" s="31" t="inlineStr">
        <is>
          <t>トルマリンダッシュC1四 五六 イ--&gt;</t>
        </is>
      </c>
      <c r="Y131" s="31" t="n">
        <v>1</v>
      </c>
      <c r="Z131" s="31" t="inlineStr">
        <is>
          <t>420kg+</t>
        </is>
      </c>
    </row>
    <row r="132" ht="15" customHeight="1" s="19">
      <c r="A132" s="31" t="n">
        <v>2021</v>
      </c>
      <c r="B132" s="31" t="n">
        <v>20</v>
      </c>
      <c r="C132" s="31" t="inlineStr">
        <is>
          <t>プンタステラの2020</t>
        </is>
      </c>
      <c r="D132" s="31" t="inlineStr">
        <is>
          <t>スティールウィル (Steel Will)</t>
        </is>
      </c>
      <c r="E132" s="31" t="inlineStr">
        <is>
          <t>リアルスティール</t>
        </is>
      </c>
      <c r="F132" s="31" t="inlineStr">
        <is>
          <t>牡</t>
        </is>
      </c>
      <c r="G132" s="31" t="n">
        <v>3</v>
      </c>
      <c r="H132" s="31" t="n">
        <v>10</v>
      </c>
      <c r="I132" s="31" t="n">
        <v>6</v>
      </c>
      <c r="J132" s="31" t="n">
        <v>3000</v>
      </c>
      <c r="K132" s="31" t="n">
        <v>454</v>
      </c>
      <c r="L132" s="31" t="n">
        <v>159</v>
      </c>
      <c r="M132" s="31" t="n">
        <v>177</v>
      </c>
      <c r="N132" s="31" t="n">
        <v>20.8</v>
      </c>
      <c r="O132" s="31" t="n">
        <v>400</v>
      </c>
      <c r="P132" s="31" t="inlineStr">
        <is>
          <t xml:space="preserve">奥村武 </t>
        </is>
      </c>
      <c r="Q132" s="31" t="inlineStr">
        <is>
          <t>33戦6勝</t>
        </is>
      </c>
      <c r="R132" s="31" t="n">
        <v>0</v>
      </c>
      <c r="S132" s="31" t="n">
        <v>6</v>
      </c>
      <c r="T132" s="31" t="n">
        <v>0</v>
      </c>
      <c r="U132" s="31" t="n">
        <v>1262</v>
      </c>
      <c r="V132" s="31" t="n">
        <v>0.42</v>
      </c>
      <c r="W132" s="31" t="n">
        <v>0</v>
      </c>
      <c r="X132" s="31" t="inlineStr">
        <is>
          <t>馬い!卵はサンサンエッグ馬い!盛岡早生ふじリンゴ発売記念--&gt;</t>
        </is>
      </c>
      <c r="Y132" s="31" t="n">
        <v>3</v>
      </c>
      <c r="Z132" s="31" t="inlineStr">
        <is>
          <t>牡・価格帯・420kg+</t>
        </is>
      </c>
    </row>
    <row r="133" ht="15" customHeight="1" s="19">
      <c r="A133" s="31" t="n">
        <v>2021</v>
      </c>
      <c r="B133" s="31" t="n">
        <v>21</v>
      </c>
      <c r="C133" s="31" t="inlineStr">
        <is>
          <t>エクストラペトルの2020</t>
        </is>
      </c>
      <c r="D133" s="31" t="inlineStr">
        <is>
          <t>アンスリウム (Anthurium)</t>
        </is>
      </c>
      <c r="E133" s="31" t="inlineStr">
        <is>
          <t>リアルスティール</t>
        </is>
      </c>
      <c r="F133" s="31" t="inlineStr">
        <is>
          <t>メス</t>
        </is>
      </c>
      <c r="G133" s="31" t="n">
        <v>1</v>
      </c>
      <c r="H133" s="31" t="n">
        <v>8</v>
      </c>
      <c r="I133" s="31" t="n">
        <v>2</v>
      </c>
      <c r="J133" s="31" t="n">
        <v>2000</v>
      </c>
      <c r="K133" s="31" t="n">
        <v>468</v>
      </c>
      <c r="L133" s="31" t="n">
        <v>156</v>
      </c>
      <c r="M133" s="31" t="n">
        <v>182</v>
      </c>
      <c r="N133" s="31" t="n">
        <v>19.8</v>
      </c>
      <c r="O133" s="31" t="n">
        <v>400</v>
      </c>
      <c r="P133" s="31" t="inlineStr">
        <is>
          <t xml:space="preserve">加藤征弘 </t>
        </is>
      </c>
      <c r="Q133" s="31" t="inlineStr">
        <is>
          <t>15戦2勝</t>
        </is>
      </c>
      <c r="R133" s="31" t="n">
        <v>2</v>
      </c>
      <c r="S133" s="31" t="n">
        <v>0</v>
      </c>
      <c r="T133" s="31" t="n">
        <v>3345</v>
      </c>
      <c r="U133" s="31" t="n">
        <v>0</v>
      </c>
      <c r="V133" s="31" t="n">
        <v>1.67</v>
      </c>
      <c r="W133" s="31" t="n">
        <v>0</v>
      </c>
      <c r="X133" s="31" t="inlineStr">
        <is>
          <t>24'4歳以上1勝クラス23'3歳未勝利--&gt;</t>
        </is>
      </c>
      <c r="Y133" s="31" t="n">
        <v>1</v>
      </c>
      <c r="Z133" s="31" t="inlineStr">
        <is>
          <t>420kg+</t>
        </is>
      </c>
    </row>
    <row r="134" ht="15" customHeight="1" s="19">
      <c r="A134" s="31" t="n">
        <v>2021</v>
      </c>
      <c r="B134" s="31" t="n">
        <v>22</v>
      </c>
      <c r="C134" s="31" t="inlineStr">
        <is>
          <t>マイティースルーの2020</t>
        </is>
      </c>
      <c r="D134" s="31" t="inlineStr">
        <is>
          <t>フェブランシェ (Fee Blanche)</t>
        </is>
      </c>
      <c r="E134" s="31" t="inlineStr">
        <is>
          <t>リアルスティール</t>
        </is>
      </c>
      <c r="F134" s="31" t="inlineStr">
        <is>
          <t>メス</t>
        </is>
      </c>
      <c r="G134" s="31" t="n">
        <v>1</v>
      </c>
      <c r="H134" s="31" t="n">
        <v>14</v>
      </c>
      <c r="I134" s="31" t="n">
        <v>9</v>
      </c>
      <c r="J134" s="31" t="n">
        <v>2400</v>
      </c>
      <c r="K134" s="31" t="n">
        <v>518</v>
      </c>
      <c r="L134" s="31" t="n">
        <v>160.5</v>
      </c>
      <c r="M134" s="31" t="n">
        <v>183</v>
      </c>
      <c r="N134" s="31" t="n">
        <v>21</v>
      </c>
      <c r="O134" s="31" t="n">
        <v>400</v>
      </c>
      <c r="P134" s="31" t="inlineStr">
        <is>
          <t xml:space="preserve">黒岩陽一 </t>
        </is>
      </c>
      <c r="Q134" s="31" t="inlineStr">
        <is>
          <t>18戦6勝</t>
        </is>
      </c>
      <c r="R134" s="31" t="n">
        <v>3</v>
      </c>
      <c r="S134" s="31" t="n">
        <v>3</v>
      </c>
      <c r="T134" s="31" t="n">
        <v>3977</v>
      </c>
      <c r="U134" s="31" t="n">
        <v>7335</v>
      </c>
      <c r="V134" s="31" t="n">
        <v>4.71</v>
      </c>
      <c r="W134" s="31" t="n">
        <v>1</v>
      </c>
      <c r="X134" s="31" t="inlineStr">
        <is>
          <t>25'スパーキングレディーC((G3)24'東京シンデレラマイル(G)--&gt;</t>
        </is>
      </c>
      <c r="Y134" s="31" t="n">
        <v>1</v>
      </c>
      <c r="Z134" s="31" t="inlineStr">
        <is>
          <t>420kg+</t>
        </is>
      </c>
    </row>
    <row r="135" ht="15" customHeight="1" s="19">
      <c r="A135" s="31" t="n">
        <v>2021</v>
      </c>
      <c r="B135" s="31" t="n">
        <v>23</v>
      </c>
      <c r="C135" s="31" t="inlineStr">
        <is>
          <t>ワシントンレガシーの2020</t>
        </is>
      </c>
      <c r="D135" s="31" t="inlineStr">
        <is>
          <t>ハリケーンリッジ (Hurricane Ridge)</t>
        </is>
      </c>
      <c r="E135" s="31" t="inlineStr">
        <is>
          <t>リアルスティール</t>
        </is>
      </c>
      <c r="F135" s="31" t="inlineStr">
        <is>
          <t>メス</t>
        </is>
      </c>
      <c r="G135" s="31" t="n">
        <v>2</v>
      </c>
      <c r="H135" s="31" t="n">
        <v>6</v>
      </c>
      <c r="I135" s="31" t="n">
        <v>1</v>
      </c>
      <c r="J135" s="31" t="n">
        <v>2200</v>
      </c>
      <c r="K135" s="31" t="n">
        <v>438</v>
      </c>
      <c r="L135" s="31" t="n">
        <v>153</v>
      </c>
      <c r="M135" s="31" t="n">
        <v>173</v>
      </c>
      <c r="N135" s="31" t="n">
        <v>19.5</v>
      </c>
      <c r="O135" s="31" t="n">
        <v>400</v>
      </c>
      <c r="P135" s="31" t="inlineStr">
        <is>
          <t xml:space="preserve">大和田成 </t>
        </is>
      </c>
      <c r="Q135" s="31" t="inlineStr">
        <is>
          <t>15戦2勝</t>
        </is>
      </c>
      <c r="R135" s="31" t="n">
        <v>2</v>
      </c>
      <c r="S135" s="31" t="n">
        <v>0</v>
      </c>
      <c r="T135" s="31" t="n">
        <v>2908</v>
      </c>
      <c r="U135" s="31" t="n">
        <v>0</v>
      </c>
      <c r="V135" s="31" t="n">
        <v>1.32</v>
      </c>
      <c r="W135" s="31" t="n">
        <v>0</v>
      </c>
      <c r="X135" s="31" t="inlineStr">
        <is>
          <t>24'3歳以上1勝クラス23'3歳未勝利--&gt;</t>
        </is>
      </c>
      <c r="Y135" s="31" t="n">
        <v>1</v>
      </c>
      <c r="Z135" s="31" t="inlineStr">
        <is>
          <t>420kg+</t>
        </is>
      </c>
    </row>
    <row r="136" ht="15" customHeight="1" s="19">
      <c r="A136" s="31" t="n">
        <v>2021</v>
      </c>
      <c r="B136" s="31" t="n">
        <v>24</v>
      </c>
      <c r="C136" s="31" t="inlineStr">
        <is>
          <t>ロスヴァイセの2020</t>
        </is>
      </c>
      <c r="D136" s="31" t="inlineStr">
        <is>
          <t>スキルヴィング (Skilfing)</t>
        </is>
      </c>
      <c r="E136" s="31" t="inlineStr">
        <is>
          <t>キタサンブラック</t>
        </is>
      </c>
      <c r="F136" s="31" t="inlineStr">
        <is>
          <t>牡</t>
        </is>
      </c>
      <c r="G136" s="31" t="n">
        <v>3</v>
      </c>
      <c r="H136" s="31" t="n">
        <v>9</v>
      </c>
      <c r="I136" s="31" t="n">
        <v>3</v>
      </c>
      <c r="J136" s="31" t="n">
        <v>3400</v>
      </c>
      <c r="K136" s="31" t="n">
        <v>506</v>
      </c>
      <c r="L136" s="31" t="n">
        <v>162</v>
      </c>
      <c r="M136" s="31" t="n">
        <v>182</v>
      </c>
      <c r="N136" s="31" t="n">
        <v>21.9</v>
      </c>
      <c r="O136" s="31" t="n">
        <v>400</v>
      </c>
      <c r="P136" s="31" t="inlineStr">
        <is>
          <t xml:space="preserve">木村哲也 </t>
        </is>
      </c>
      <c r="Q136" s="31" t="inlineStr">
        <is>
          <t>5戦3勝</t>
        </is>
      </c>
      <c r="R136" s="31" t="n">
        <v>3</v>
      </c>
      <c r="S136" s="31" t="n">
        <v>0</v>
      </c>
      <c r="T136" s="31" t="n">
        <v>7402</v>
      </c>
      <c r="U136" s="31" t="n">
        <v>0</v>
      </c>
      <c r="V136" s="31" t="n">
        <v>2.18</v>
      </c>
      <c r="W136" s="31" t="n">
        <v>1</v>
      </c>
      <c r="X136" s="31" t="inlineStr">
        <is>
          <t>23'青葉賞(G2)23'ゆりかもめ賞(1勝クラス)--&gt;</t>
        </is>
      </c>
      <c r="Y136" s="31" t="n">
        <v>3</v>
      </c>
      <c r="Z136" s="31" t="inlineStr">
        <is>
          <t>牡・価格帯・420kg+</t>
        </is>
      </c>
    </row>
    <row r="137" ht="15" customHeight="1" s="19">
      <c r="A137" s="31" t="n">
        <v>2021</v>
      </c>
      <c r="B137" s="31" t="n">
        <v>25</v>
      </c>
      <c r="C137" s="31" t="inlineStr">
        <is>
          <t>シンハディーパの2020</t>
        </is>
      </c>
      <c r="D137" s="31" t="inlineStr">
        <is>
          <t>ディバイングレース (Divine Grace)</t>
        </is>
      </c>
      <c r="E137" s="31" t="inlineStr">
        <is>
          <t>キタサンブラック</t>
        </is>
      </c>
      <c r="F137" s="31" t="inlineStr">
        <is>
          <t>メス</t>
        </is>
      </c>
      <c r="G137" s="31" t="n">
        <v>3</v>
      </c>
      <c r="H137" s="31" t="n">
        <v>10</v>
      </c>
      <c r="I137" s="31" t="n">
        <v>5</v>
      </c>
      <c r="J137" s="31" t="n">
        <v>2800</v>
      </c>
      <c r="K137" s="31" t="n">
        <v>420</v>
      </c>
      <c r="L137" s="31" t="n">
        <v>154.5</v>
      </c>
      <c r="M137" s="31" t="n">
        <v>172.5</v>
      </c>
      <c r="N137" s="31" t="n">
        <v>19.7</v>
      </c>
      <c r="O137" s="31" t="n">
        <v>400</v>
      </c>
      <c r="P137" s="31" t="inlineStr">
        <is>
          <t>蛯名正義？</t>
        </is>
      </c>
      <c r="Q137" s="31" t="inlineStr">
        <is>
          <t>19戦1勝</t>
        </is>
      </c>
      <c r="R137" s="31" t="n">
        <v>1</v>
      </c>
      <c r="S137" s="31" t="n">
        <v>0</v>
      </c>
      <c r="T137" s="31" t="n">
        <v>1592</v>
      </c>
      <c r="U137" s="31" t="n">
        <v>0</v>
      </c>
      <c r="V137" s="31" t="n">
        <v>0.57</v>
      </c>
      <c r="W137" s="31" t="n">
        <v>0</v>
      </c>
      <c r="X137" s="31" t="inlineStr">
        <is>
          <t>23'3歳未勝利--&gt;</t>
        </is>
      </c>
      <c r="Y137" s="31" t="n">
        <v>2</v>
      </c>
      <c r="Z137" s="31" t="inlineStr">
        <is>
          <t>価格帯・420kg+</t>
        </is>
      </c>
    </row>
    <row r="138" ht="15" customHeight="1" s="19">
      <c r="A138" s="31" t="n">
        <v>2021</v>
      </c>
      <c r="B138" s="31" t="n">
        <v>26</v>
      </c>
      <c r="C138" s="31" t="inlineStr">
        <is>
          <t>ヒカルアモーレの2020</t>
        </is>
      </c>
      <c r="D138" s="31" t="inlineStr">
        <is>
          <t>ルクスグローリア (Lux Gloria)</t>
        </is>
      </c>
      <c r="E138" s="31" t="inlineStr">
        <is>
          <t>サトノダイヤモンド</t>
        </is>
      </c>
      <c r="F138" s="31" t="inlineStr">
        <is>
          <t>牡</t>
        </is>
      </c>
      <c r="G138" s="31" t="n">
        <v>4</v>
      </c>
      <c r="H138" s="31" t="n">
        <v>16</v>
      </c>
      <c r="I138" s="31" t="n">
        <v>9</v>
      </c>
      <c r="J138" s="31" t="n">
        <v>4000</v>
      </c>
      <c r="K138" s="31" t="n">
        <v>465</v>
      </c>
      <c r="L138" s="31" t="n">
        <v>157.5</v>
      </c>
      <c r="M138" s="31" t="n">
        <v>171</v>
      </c>
      <c r="N138" s="31" t="n">
        <v>20.5</v>
      </c>
      <c r="O138" s="31" t="n">
        <v>400</v>
      </c>
      <c r="P138" s="31" t="inlineStr">
        <is>
          <t xml:space="preserve">宮田敬介 </t>
        </is>
      </c>
      <c r="Q138" s="31" t="inlineStr">
        <is>
          <t>1戦0勝</t>
        </is>
      </c>
      <c r="R138" s="31" t="n">
        <v>0</v>
      </c>
      <c r="S138" s="31" t="n">
        <v>0</v>
      </c>
      <c r="T138" s="31" t="n">
        <v>280</v>
      </c>
      <c r="U138" s="31" t="n">
        <v>0</v>
      </c>
      <c r="V138" s="31" t="n">
        <v>0.07000000000000001</v>
      </c>
      <c r="W138" s="31" t="n">
        <v>0</v>
      </c>
      <c r="X138" s="31" t="inlineStr">
        <is>
          <t>--&gt;</t>
        </is>
      </c>
      <c r="Y138" s="31" t="n">
        <v>2</v>
      </c>
      <c r="Z138" s="31" t="inlineStr">
        <is>
          <t>牡・420kg+</t>
        </is>
      </c>
    </row>
    <row r="139" ht="15" customHeight="1" s="19">
      <c r="A139" s="31" t="n">
        <v>2021</v>
      </c>
      <c r="B139" s="31" t="n">
        <v>27</v>
      </c>
      <c r="C139" s="31" t="inlineStr">
        <is>
          <t>エンシェントヒルの2020</t>
        </is>
      </c>
      <c r="D139" s="31" t="inlineStr">
        <is>
          <t>ウォーカーカップ (Walker Cup)</t>
        </is>
      </c>
      <c r="E139" s="31" t="inlineStr">
        <is>
          <t>サトノダイヤモンド</t>
        </is>
      </c>
      <c r="F139" s="31" t="inlineStr">
        <is>
          <t>メス</t>
        </is>
      </c>
      <c r="G139" s="31" t="n">
        <v>2</v>
      </c>
      <c r="H139" s="31" t="n">
        <v>19</v>
      </c>
      <c r="I139" s="31" t="n">
        <v>9</v>
      </c>
      <c r="J139" s="31" t="n">
        <v>2000</v>
      </c>
      <c r="K139" s="31" t="n">
        <v>458</v>
      </c>
      <c r="L139" s="31" t="n">
        <v>161.5</v>
      </c>
      <c r="M139" s="31" t="n">
        <v>181.5</v>
      </c>
      <c r="N139" s="31" t="n">
        <v>20.4</v>
      </c>
      <c r="O139" s="31" t="n">
        <v>400</v>
      </c>
      <c r="P139" s="31" t="inlineStr">
        <is>
          <t xml:space="preserve">伊藤大士 </t>
        </is>
      </c>
      <c r="Q139" s="31" t="inlineStr">
        <is>
          <t>31戦1勝</t>
        </is>
      </c>
      <c r="R139" s="31" t="n">
        <v>0</v>
      </c>
      <c r="S139" s="31" t="n">
        <v>1</v>
      </c>
      <c r="T139" s="31" t="n">
        <v>0</v>
      </c>
      <c r="U139" s="31" t="n">
        <v>159</v>
      </c>
      <c r="V139" s="31" t="n">
        <v>0.08</v>
      </c>
      <c r="W139" s="31" t="n">
        <v>0</v>
      </c>
      <c r="X139" s="31" t="inlineStr">
        <is>
          <t>C13組--&gt;</t>
        </is>
      </c>
      <c r="Y139" s="31" t="n">
        <v>1</v>
      </c>
      <c r="Z139" s="31" t="inlineStr">
        <is>
          <t>420kg+</t>
        </is>
      </c>
    </row>
    <row r="140" ht="15" customHeight="1" s="19">
      <c r="A140" s="31" t="n">
        <v>2021</v>
      </c>
      <c r="B140" s="31" t="n">
        <v>28</v>
      </c>
      <c r="C140" s="31" t="inlineStr">
        <is>
          <t>アドマイヤアロマの2020</t>
        </is>
      </c>
      <c r="D140" s="31" t="inlineStr">
        <is>
          <t>フラグランツァ (Fragranza)</t>
        </is>
      </c>
      <c r="E140" s="31" t="inlineStr">
        <is>
          <t>ハービンジャー</t>
        </is>
      </c>
      <c r="F140" s="31" t="inlineStr">
        <is>
          <t>牡</t>
        </is>
      </c>
      <c r="G140" s="31" t="n">
        <v>1</v>
      </c>
      <c r="H140" s="31" t="n">
        <v>9</v>
      </c>
      <c r="I140" s="31" t="n">
        <v>1</v>
      </c>
      <c r="J140" s="31" t="n">
        <v>2800</v>
      </c>
      <c r="K140" s="31" t="n">
        <v>441</v>
      </c>
      <c r="L140" s="31" t="n">
        <v>151</v>
      </c>
      <c r="M140" s="31" t="n">
        <v>176.5</v>
      </c>
      <c r="N140" s="31" t="n">
        <v>20.7</v>
      </c>
      <c r="O140" s="31" t="n">
        <v>400</v>
      </c>
      <c r="P140" s="31" t="inlineStr">
        <is>
          <t xml:space="preserve">戸田博文 </t>
        </is>
      </c>
      <c r="Q140" s="31" t="inlineStr">
        <is>
          <t>24戦5勝</t>
        </is>
      </c>
      <c r="R140" s="31" t="n">
        <v>0</v>
      </c>
      <c r="S140" s="31" t="n">
        <v>5</v>
      </c>
      <c r="T140" s="31" t="n">
        <v>220</v>
      </c>
      <c r="U140" s="31" t="n">
        <v>950</v>
      </c>
      <c r="V140" s="31" t="n">
        <v>0.42</v>
      </c>
      <c r="W140" s="31" t="n">
        <v>0</v>
      </c>
      <c r="X140" s="31" t="inlineStr">
        <is>
          <t>C2五 六C216 17--&gt;</t>
        </is>
      </c>
      <c r="Y140" s="31" t="n">
        <v>3</v>
      </c>
      <c r="Z140" s="31" t="inlineStr">
        <is>
          <t>牡・価格帯・420kg+</t>
        </is>
      </c>
    </row>
    <row r="141" ht="15" customHeight="1" s="19">
      <c r="A141" s="31" t="n">
        <v>2021</v>
      </c>
      <c r="B141" s="31" t="n">
        <v>29</v>
      </c>
      <c r="C141" s="31" t="inlineStr">
        <is>
          <t>フェルミオンの2020</t>
        </is>
      </c>
      <c r="D141" s="31" t="inlineStr">
        <is>
          <t>フェルミディラック (Fermi Dirac)</t>
        </is>
      </c>
      <c r="E141" s="31" t="inlineStr">
        <is>
          <t>ハービンジャー</t>
        </is>
      </c>
      <c r="F141" s="31" t="inlineStr">
        <is>
          <t>メス</t>
        </is>
      </c>
      <c r="G141" s="31" t="n">
        <v>4</v>
      </c>
      <c r="H141" s="31" t="n">
        <v>14</v>
      </c>
      <c r="I141" s="31" t="n">
        <v>9</v>
      </c>
      <c r="J141" s="31" t="n">
        <v>2200</v>
      </c>
      <c r="K141" s="31" t="n">
        <v>463</v>
      </c>
      <c r="L141" s="31" t="n">
        <v>154</v>
      </c>
      <c r="M141" s="31" t="n">
        <v>176.5</v>
      </c>
      <c r="N141" s="31" t="n">
        <v>20.3</v>
      </c>
      <c r="O141" s="31" t="n">
        <v>400</v>
      </c>
      <c r="P141" s="31" t="inlineStr">
        <is>
          <t xml:space="preserve">勢司和浩 </t>
        </is>
      </c>
      <c r="Q141" s="31" t="inlineStr">
        <is>
          <t>4戦0勝</t>
        </is>
      </c>
      <c r="R141" s="31" t="n">
        <v>0</v>
      </c>
      <c r="S141" s="31" t="n">
        <v>0</v>
      </c>
      <c r="T141" s="31" t="n">
        <v>55</v>
      </c>
      <c r="U141" s="31" t="n">
        <v>0</v>
      </c>
      <c r="V141" s="31" t="n">
        <v>0.03</v>
      </c>
      <c r="W141" s="31" t="n">
        <v>0</v>
      </c>
      <c r="X141" s="31" t="inlineStr">
        <is>
          <t>--&gt;</t>
        </is>
      </c>
      <c r="Y141" s="31" t="n">
        <v>1</v>
      </c>
      <c r="Z141" s="31" t="inlineStr">
        <is>
          <t>420kg+</t>
        </is>
      </c>
    </row>
    <row r="142" ht="15" customHeight="1" s="19">
      <c r="A142" s="31" t="n">
        <v>2021</v>
      </c>
      <c r="B142" s="31" t="n">
        <v>30</v>
      </c>
      <c r="C142" s="31" t="inlineStr">
        <is>
          <t>ココファンタジアの2020</t>
        </is>
      </c>
      <c r="D142" s="31" t="inlineStr">
        <is>
          <t>ファンタジスタ (Fantasista)</t>
        </is>
      </c>
      <c r="E142" s="31" t="inlineStr">
        <is>
          <t>ルーラーシップ</t>
        </is>
      </c>
      <c r="F142" s="31" t="inlineStr">
        <is>
          <t>牡</t>
        </is>
      </c>
      <c r="G142" s="31" t="n">
        <v>2</v>
      </c>
      <c r="H142" s="31" t="n">
        <v>7</v>
      </c>
      <c r="I142" s="31" t="n">
        <v>1</v>
      </c>
      <c r="J142" s="31" t="n">
        <v>3200</v>
      </c>
      <c r="K142" s="31" t="n">
        <v>469</v>
      </c>
      <c r="L142" s="31" t="n">
        <v>152</v>
      </c>
      <c r="M142" s="31" t="n">
        <v>174</v>
      </c>
      <c r="N142" s="31" t="n">
        <v>19.8</v>
      </c>
      <c r="O142" s="31" t="n">
        <v>400</v>
      </c>
      <c r="P142" s="31" t="inlineStr">
        <is>
          <t xml:space="preserve">宮田敬介 </t>
        </is>
      </c>
      <c r="Q142" s="31" t="inlineStr">
        <is>
          <t>24戦1勝</t>
        </is>
      </c>
      <c r="R142" s="31" t="n">
        <v>0</v>
      </c>
      <c r="S142" s="31" t="n">
        <v>1</v>
      </c>
      <c r="T142" s="31" t="n">
        <v>303</v>
      </c>
      <c r="U142" s="31" t="n">
        <v>138</v>
      </c>
      <c r="V142" s="31" t="n">
        <v>0.14</v>
      </c>
      <c r="W142" s="31" t="n">
        <v>0</v>
      </c>
      <c r="X142" s="31" t="inlineStr">
        <is>
          <t>C23組--&gt;</t>
        </is>
      </c>
      <c r="Y142" s="31" t="n">
        <v>3</v>
      </c>
      <c r="Z142" s="31" t="inlineStr">
        <is>
          <t>牡・価格帯・420kg+</t>
        </is>
      </c>
    </row>
    <row r="143" ht="15" customHeight="1" s="19">
      <c r="A143" s="31" t="n">
        <v>2021</v>
      </c>
      <c r="B143" s="31" t="n">
        <v>31</v>
      </c>
      <c r="C143" s="31" t="inlineStr">
        <is>
          <t>クローバーリーフの2020</t>
        </is>
      </c>
      <c r="D143" s="31" t="inlineStr">
        <is>
          <t>イルディヴィーノ (Il Divino)</t>
        </is>
      </c>
      <c r="E143" s="31" t="inlineStr">
        <is>
          <t>キンシャサノキセキ</t>
        </is>
      </c>
      <c r="F143" s="31" t="inlineStr">
        <is>
          <t>牡</t>
        </is>
      </c>
      <c r="G143" s="31" t="n">
        <v>4</v>
      </c>
      <c r="H143" s="31" t="n">
        <v>12</v>
      </c>
      <c r="I143" s="31" t="n">
        <v>6</v>
      </c>
      <c r="J143" s="31" t="n">
        <v>2400</v>
      </c>
      <c r="K143" s="31" t="n">
        <v>473</v>
      </c>
      <c r="L143" s="31" t="n">
        <v>159</v>
      </c>
      <c r="M143" s="31" t="n">
        <v>179</v>
      </c>
      <c r="N143" s="31" t="n">
        <v>20.8</v>
      </c>
      <c r="O143" s="31" t="n">
        <v>400</v>
      </c>
      <c r="P143" s="31" t="inlineStr">
        <is>
          <t xml:space="preserve">稲垣幸雄 </t>
        </is>
      </c>
      <c r="Q143" s="31" t="inlineStr">
        <is>
          <t>15戦2勝</t>
        </is>
      </c>
      <c r="R143" s="31" t="n">
        <v>2</v>
      </c>
      <c r="S143" s="31" t="n">
        <v>0</v>
      </c>
      <c r="T143" s="31" t="n">
        <v>2030</v>
      </c>
      <c r="U143" s="31" t="n">
        <v>0</v>
      </c>
      <c r="V143" s="31" t="n">
        <v>0.85</v>
      </c>
      <c r="W143" s="31" t="n">
        <v>0</v>
      </c>
      <c r="X143" s="31" t="inlineStr">
        <is>
          <t>25'障害3歳以上未勝利22'2歳新馬--&gt;</t>
        </is>
      </c>
      <c r="Y143" s="31" t="n">
        <v>2</v>
      </c>
      <c r="Z143" s="31" t="inlineStr">
        <is>
          <t>牡・420kg+</t>
        </is>
      </c>
    </row>
    <row r="144" ht="15" customHeight="1" s="19">
      <c r="A144" s="31" t="n">
        <v>2021</v>
      </c>
      <c r="B144" s="31" t="n">
        <v>34</v>
      </c>
      <c r="C144" s="31" t="inlineStr">
        <is>
          <t>ポロンナルワの2020</t>
        </is>
      </c>
      <c r="D144" s="31" t="inlineStr">
        <is>
          <t>ラクサパーナ (Laxapana)</t>
        </is>
      </c>
      <c r="E144" s="31" t="inlineStr">
        <is>
          <t>ダイワメジャー</t>
        </is>
      </c>
      <c r="F144" s="31" t="inlineStr">
        <is>
          <t>メス</t>
        </is>
      </c>
      <c r="G144" s="31" t="n">
        <v>5</v>
      </c>
      <c r="H144" s="31" t="n">
        <v>12</v>
      </c>
      <c r="I144" s="31" t="n">
        <v>9</v>
      </c>
      <c r="J144" s="31" t="n">
        <v>3000</v>
      </c>
      <c r="K144" s="31" t="n">
        <v>426</v>
      </c>
      <c r="L144" s="31" t="n">
        <v>148.5</v>
      </c>
      <c r="M144" s="31" t="n">
        <v>172.5</v>
      </c>
      <c r="N144" s="31" t="n">
        <v>20</v>
      </c>
      <c r="O144" s="31" t="n">
        <v>400</v>
      </c>
      <c r="P144" s="31" t="inlineStr">
        <is>
          <t xml:space="preserve">矢野英一 </t>
        </is>
      </c>
      <c r="Q144" s="31" t="inlineStr">
        <is>
          <t>16戦1勝</t>
        </is>
      </c>
      <c r="R144" s="31" t="n">
        <v>1</v>
      </c>
      <c r="S144" s="31" t="n">
        <v>0</v>
      </c>
      <c r="T144" s="31" t="n">
        <v>1421</v>
      </c>
      <c r="U144" s="31" t="n">
        <v>0</v>
      </c>
      <c r="V144" s="31" t="n">
        <v>0.47</v>
      </c>
      <c r="W144" s="31" t="n">
        <v>0</v>
      </c>
      <c r="X144" s="31" t="inlineStr">
        <is>
          <t>23'3歳未勝利--&gt;</t>
        </is>
      </c>
      <c r="Y144" s="31" t="n">
        <v>2</v>
      </c>
      <c r="Z144" s="31" t="inlineStr">
        <is>
          <t>価格帯・420kg+</t>
        </is>
      </c>
    </row>
    <row r="145" ht="15" customHeight="1" s="19">
      <c r="A145" s="31" t="n">
        <v>2021</v>
      </c>
      <c r="B145" s="31" t="n">
        <v>35</v>
      </c>
      <c r="C145" s="31" t="inlineStr">
        <is>
          <t>ビットレートの2020</t>
        </is>
      </c>
      <c r="D145" s="31" t="inlineStr">
        <is>
          <t>クエイヴァー (Quaver)</t>
        </is>
      </c>
      <c r="E145" s="31" t="inlineStr">
        <is>
          <t>ヘニーヒューズ</t>
        </is>
      </c>
      <c r="F145" s="31" t="inlineStr">
        <is>
          <t>メス</t>
        </is>
      </c>
      <c r="G145" s="31" t="n">
        <v>1</v>
      </c>
      <c r="H145" s="31" t="n">
        <v>8</v>
      </c>
      <c r="I145" s="31" t="n">
        <v>2</v>
      </c>
      <c r="J145" s="31" t="n">
        <v>2200</v>
      </c>
      <c r="K145" s="31" t="n">
        <v>415</v>
      </c>
      <c r="L145" s="31" t="n">
        <v>150</v>
      </c>
      <c r="M145" s="31" t="n">
        <v>171</v>
      </c>
      <c r="N145" s="31" t="n">
        <v>19.5</v>
      </c>
      <c r="O145" s="31" t="n">
        <v>400</v>
      </c>
      <c r="P145" s="31" t="inlineStr">
        <is>
          <t xml:space="preserve">小西一男 </t>
        </is>
      </c>
      <c r="Q145" s="31" t="inlineStr">
        <is>
          <t>15戦0勝</t>
        </is>
      </c>
      <c r="R145" s="31" t="n">
        <v>0</v>
      </c>
      <c r="S145" s="31" t="n">
        <v>0</v>
      </c>
      <c r="T145" s="31" t="n">
        <v>55</v>
      </c>
      <c r="U145" s="31" t="n">
        <v>30</v>
      </c>
      <c r="V145" s="31" t="n">
        <v>0.04</v>
      </c>
      <c r="W145" s="31" t="n">
        <v>0</v>
      </c>
      <c r="X145" s="31" t="inlineStr">
        <is>
          <t>--&gt;</t>
        </is>
      </c>
      <c r="Y145" s="31" t="n">
        <v>0</v>
      </c>
      <c r="Z145" s="31" t="inlineStr"/>
    </row>
    <row r="146" ht="15" customHeight="1" s="19">
      <c r="A146" s="31" t="n">
        <v>2021</v>
      </c>
      <c r="B146" s="31" t="n">
        <v>36</v>
      </c>
      <c r="C146" s="31" t="inlineStr">
        <is>
          <t>カイゼリンの2020</t>
        </is>
      </c>
      <c r="D146" s="31" t="inlineStr">
        <is>
          <t>エーリチェ (Erice)</t>
        </is>
      </c>
      <c r="E146" s="31" t="inlineStr">
        <is>
          <t>リオンディーズ</t>
        </is>
      </c>
      <c r="F146" s="31" t="inlineStr">
        <is>
          <t>メス</t>
        </is>
      </c>
      <c r="G146" s="31" t="n">
        <v>1</v>
      </c>
      <c r="H146" s="31" t="n">
        <v>15</v>
      </c>
      <c r="I146" s="31" t="n">
        <v>9</v>
      </c>
      <c r="J146" s="31" t="n">
        <v>2200</v>
      </c>
      <c r="K146" s="31" t="n">
        <v>478</v>
      </c>
      <c r="L146" s="31" t="n">
        <v>153.5</v>
      </c>
      <c r="M146" s="31" t="n">
        <v>176</v>
      </c>
      <c r="N146" s="31" t="n">
        <v>19.6</v>
      </c>
      <c r="O146" s="31" t="n">
        <v>400</v>
      </c>
      <c r="P146" s="31" t="inlineStr">
        <is>
          <t xml:space="preserve">田中博康 </t>
        </is>
      </c>
      <c r="Q146" s="31" t="inlineStr">
        <is>
          <t>11戦4勝</t>
        </is>
      </c>
      <c r="R146" s="31" t="n">
        <v>0</v>
      </c>
      <c r="S146" s="31" t="n">
        <v>4</v>
      </c>
      <c r="T146" s="31" t="n">
        <v>243</v>
      </c>
      <c r="U146" s="31" t="n">
        <v>180</v>
      </c>
      <c r="V146" s="31" t="n">
        <v>0.19</v>
      </c>
      <c r="W146" s="31" t="n">
        <v>0</v>
      </c>
      <c r="X146" s="31" t="inlineStr">
        <is>
          <t>楽天競馬×楽天モバイル賞C2四組--&gt;</t>
        </is>
      </c>
      <c r="Y146" s="31" t="n">
        <v>1</v>
      </c>
      <c r="Z146" s="31" t="inlineStr">
        <is>
          <t>420kg+</t>
        </is>
      </c>
    </row>
    <row r="147" ht="15" customHeight="1" s="19">
      <c r="A147" s="31" t="n">
        <v>2021</v>
      </c>
      <c r="B147" s="31" t="n">
        <v>37</v>
      </c>
      <c r="C147" s="31" t="inlineStr">
        <is>
          <t>ユールフェストの2020</t>
        </is>
      </c>
      <c r="D147" s="31" t="inlineStr">
        <is>
          <t>オルフェスト (Or Fest)</t>
        </is>
      </c>
      <c r="E147" s="31" t="inlineStr">
        <is>
          <t>オルフェーヴル</t>
        </is>
      </c>
      <c r="F147" s="31" t="inlineStr">
        <is>
          <t>メス</t>
        </is>
      </c>
      <c r="G147" s="31" t="n">
        <v>5</v>
      </c>
      <c r="H147" s="31" t="n">
        <v>11</v>
      </c>
      <c r="I147" s="31" t="n">
        <v>5</v>
      </c>
      <c r="J147" s="31" t="n">
        <v>2200</v>
      </c>
      <c r="K147" s="31" t="n">
        <v>395</v>
      </c>
      <c r="L147" s="31" t="n">
        <v>149.5</v>
      </c>
      <c r="M147" s="31" t="n">
        <v>168.5</v>
      </c>
      <c r="N147" s="31" t="n">
        <v>18.4</v>
      </c>
      <c r="O147" s="31" t="n">
        <v>400</v>
      </c>
      <c r="P147" s="31" t="inlineStr">
        <is>
          <t xml:space="preserve">池上昌和 </t>
        </is>
      </c>
      <c r="Q147" s="31" t="inlineStr">
        <is>
          <t>16戦2勝</t>
        </is>
      </c>
      <c r="R147" s="31" t="n">
        <v>2</v>
      </c>
      <c r="S147" s="31" t="n">
        <v>0</v>
      </c>
      <c r="T147" s="31" t="n">
        <v>2128</v>
      </c>
      <c r="U147" s="31" t="n">
        <v>0</v>
      </c>
      <c r="V147" s="31" t="n">
        <v>0.97</v>
      </c>
      <c r="W147" s="31" t="n">
        <v>0</v>
      </c>
      <c r="X147" s="31" t="inlineStr">
        <is>
          <t>24'4歳以上1勝クラス23'3歳未勝利--&gt;</t>
        </is>
      </c>
      <c r="Y147" s="31" t="n">
        <v>0</v>
      </c>
      <c r="Z147" s="31" t="inlineStr"/>
    </row>
    <row r="148" ht="15" customHeight="1" s="19">
      <c r="A148" s="31" t="n">
        <v>2021</v>
      </c>
      <c r="B148" s="31" t="n">
        <v>38</v>
      </c>
      <c r="C148" s="31" t="inlineStr">
        <is>
          <t>レオパルディナの2020</t>
        </is>
      </c>
      <c r="D148" s="31" t="inlineStr">
        <is>
          <t>パンテーラネーラ (Pantera Nera)</t>
        </is>
      </c>
      <c r="E148" s="31" t="inlineStr">
        <is>
          <t>サトノアラジン</t>
        </is>
      </c>
      <c r="F148" s="31" t="inlineStr">
        <is>
          <t>牡</t>
        </is>
      </c>
      <c r="G148" s="31" t="n">
        <v>2</v>
      </c>
      <c r="H148" s="31" t="n">
        <v>8</v>
      </c>
      <c r="I148" s="31" t="n">
        <v>2</v>
      </c>
      <c r="J148" s="31" t="n">
        <v>2000</v>
      </c>
      <c r="K148" s="31" t="n">
        <v>449</v>
      </c>
      <c r="L148" s="31" t="n">
        <v>153.5</v>
      </c>
      <c r="M148" s="31" t="n">
        <v>171.5</v>
      </c>
      <c r="N148" s="31" t="n">
        <v>20</v>
      </c>
      <c r="O148" s="31" t="n">
        <v>400</v>
      </c>
      <c r="P148" s="31" t="inlineStr">
        <is>
          <t xml:space="preserve">中舘英二 </t>
        </is>
      </c>
      <c r="Q148" s="31" t="inlineStr">
        <is>
          <t>15戦2勝</t>
        </is>
      </c>
      <c r="R148" s="31" t="n">
        <v>0</v>
      </c>
      <c r="S148" s="31" t="n">
        <v>2</v>
      </c>
      <c r="T148" s="31" t="n">
        <v>0</v>
      </c>
      <c r="U148" s="31" t="n">
        <v>92</v>
      </c>
      <c r="V148" s="31" t="n">
        <v>0.05</v>
      </c>
      <c r="W148" s="31" t="n">
        <v>0</v>
      </c>
      <c r="X148" s="31" t="inlineStr">
        <is>
          <t>C2C2--&gt;</t>
        </is>
      </c>
      <c r="Y148" s="31" t="n">
        <v>2</v>
      </c>
      <c r="Z148" s="31" t="inlineStr">
        <is>
          <t>牡・420kg+</t>
        </is>
      </c>
    </row>
    <row r="149" ht="15" customHeight="1" s="19">
      <c r="A149" s="31" t="n">
        <v>2021</v>
      </c>
      <c r="B149" s="31" t="n">
        <v>39</v>
      </c>
      <c r="C149" s="31" t="inlineStr">
        <is>
          <t>アールブリュットの2020</t>
        </is>
      </c>
      <c r="D149" s="31" t="inlineStr">
        <is>
          <t>アールブリュットの2020</t>
        </is>
      </c>
      <c r="E149" s="31" t="inlineStr">
        <is>
          <t>ブラックタイド</t>
        </is>
      </c>
      <c r="F149" s="31" t="inlineStr">
        <is>
          <t>メス</t>
        </is>
      </c>
      <c r="G149" s="31" t="n">
        <v>2</v>
      </c>
      <c r="H149" s="31" t="n">
        <v>8</v>
      </c>
      <c r="I149" s="31" t="n">
        <v>2</v>
      </c>
      <c r="J149" s="31" t="n">
        <v>2400</v>
      </c>
      <c r="K149" s="31" t="n">
        <v>435</v>
      </c>
      <c r="L149" s="31" t="n">
        <v>152</v>
      </c>
      <c r="M149" s="31" t="n">
        <v>174</v>
      </c>
      <c r="N149" s="31" t="n">
        <v>19.5</v>
      </c>
      <c r="O149" s="31" t="n">
        <v>400</v>
      </c>
      <c r="P149" s="31" t="inlineStr">
        <is>
          <t xml:space="preserve">木村哲也 </t>
        </is>
      </c>
      <c r="Q149" s="31" t="inlineStr">
        <is>
          <t>0戦0勝</t>
        </is>
      </c>
      <c r="R149" s="31" t="n">
        <v>0</v>
      </c>
      <c r="S149" s="31" t="n">
        <v>0</v>
      </c>
      <c r="T149" s="31" t="n">
        <v>0</v>
      </c>
      <c r="U149" s="31" t="n">
        <v>0</v>
      </c>
      <c r="V149" s="31" t="n">
        <v>0</v>
      </c>
      <c r="W149" s="31" t="n">
        <v>0</v>
      </c>
      <c r="X149" s="31" t="inlineStr">
        <is>
          <t>--&gt;</t>
        </is>
      </c>
      <c r="Y149" s="31" t="n">
        <v>1</v>
      </c>
      <c r="Z149" s="31" t="inlineStr">
        <is>
          <t>420kg+</t>
        </is>
      </c>
    </row>
    <row r="150" ht="15" customHeight="1" s="19">
      <c r="A150" s="31" t="n">
        <v>2021</v>
      </c>
      <c r="B150" s="31" t="n">
        <v>41</v>
      </c>
      <c r="C150" s="31" t="inlineStr">
        <is>
          <t>アドヴェントスの2020</t>
        </is>
      </c>
      <c r="D150" s="31" t="inlineStr">
        <is>
          <t>ラトレイア (Latreia)</t>
        </is>
      </c>
      <c r="E150" s="31" t="inlineStr">
        <is>
          <t>ミッキーアイル</t>
        </is>
      </c>
      <c r="F150" s="31" t="inlineStr">
        <is>
          <t>メス</t>
        </is>
      </c>
      <c r="G150" s="31" t="n">
        <v>2</v>
      </c>
      <c r="H150" s="31" t="n">
        <v>7</v>
      </c>
      <c r="I150" s="31" t="n">
        <v>1</v>
      </c>
      <c r="J150" s="31" t="n">
        <v>2000</v>
      </c>
      <c r="K150" s="31" t="n">
        <v>421</v>
      </c>
      <c r="L150" s="31" t="n">
        <v>151.5</v>
      </c>
      <c r="M150" s="31" t="n">
        <v>169.5</v>
      </c>
      <c r="N150" s="31" t="n">
        <v>18.6</v>
      </c>
      <c r="O150" s="31" t="n">
        <v>400</v>
      </c>
      <c r="P150" s="31" t="inlineStr">
        <is>
          <t xml:space="preserve">高柳瑞樹 </t>
        </is>
      </c>
      <c r="Q150" s="31" t="inlineStr">
        <is>
          <t>2戦0勝</t>
        </is>
      </c>
      <c r="R150" s="31" t="n">
        <v>0</v>
      </c>
      <c r="S150" s="31" t="n">
        <v>0</v>
      </c>
      <c r="T150" s="31" t="n">
        <v>0</v>
      </c>
      <c r="U150" s="31" t="n">
        <v>0</v>
      </c>
      <c r="V150" s="31" t="n">
        <v>0</v>
      </c>
      <c r="W150" s="31" t="n">
        <v>0</v>
      </c>
      <c r="X150" s="31" t="inlineStr">
        <is>
          <t>--&gt;</t>
        </is>
      </c>
      <c r="Y150" s="31" t="n">
        <v>1</v>
      </c>
      <c r="Z150" s="31" t="inlineStr">
        <is>
          <t>420kg+</t>
        </is>
      </c>
    </row>
    <row r="151" ht="15" customHeight="1" s="19">
      <c r="A151" s="31" t="n">
        <v>2021</v>
      </c>
      <c r="B151" s="31" t="n">
        <v>42</v>
      </c>
      <c r="C151" s="31" t="inlineStr">
        <is>
          <t>フォトコールの2020</t>
        </is>
      </c>
      <c r="D151" s="31" t="inlineStr">
        <is>
          <t>ブレガーロード (Bregagh Road)</t>
        </is>
      </c>
      <c r="E151" s="31" t="inlineStr">
        <is>
          <t>Quality Road</t>
        </is>
      </c>
      <c r="F151" s="31" t="inlineStr">
        <is>
          <t>牡</t>
        </is>
      </c>
      <c r="G151" s="31" t="n">
        <v>4</v>
      </c>
      <c r="H151" s="31" t="n">
        <v>9</v>
      </c>
      <c r="I151" s="31" t="n">
        <v>2</v>
      </c>
      <c r="J151" s="31" t="n">
        <v>8000</v>
      </c>
      <c r="K151" s="31" t="n">
        <v>436</v>
      </c>
      <c r="L151" s="31" t="n">
        <v>153.5</v>
      </c>
      <c r="M151" s="31" t="n">
        <v>173</v>
      </c>
      <c r="N151" s="31" t="n">
        <v>19.6</v>
      </c>
      <c r="O151" s="31" t="n">
        <v>400</v>
      </c>
      <c r="P151" s="31" t="inlineStr">
        <is>
          <t xml:space="preserve">木村哲也 </t>
        </is>
      </c>
      <c r="Q151" s="31" t="inlineStr">
        <is>
          <t>9戦2勝</t>
        </is>
      </c>
      <c r="R151" s="31" t="n">
        <v>0</v>
      </c>
      <c r="S151" s="31" t="n">
        <v>2</v>
      </c>
      <c r="T151" s="31" t="n">
        <v>55</v>
      </c>
      <c r="U151" s="31" t="n">
        <v>70</v>
      </c>
      <c r="V151" s="31" t="n">
        <v>0.02</v>
      </c>
      <c r="W151" s="31" t="n">
        <v>0</v>
      </c>
      <c r="X151" s="31" t="inlineStr">
        <is>
          <t>C2十組C2五組--&gt;</t>
        </is>
      </c>
      <c r="Y151" s="31" t="n">
        <v>2</v>
      </c>
      <c r="Z151" s="31" t="inlineStr">
        <is>
          <t>牡・420kg+</t>
        </is>
      </c>
    </row>
    <row r="152" ht="15" customHeight="1" s="19">
      <c r="A152" s="31" t="n">
        <v>2021</v>
      </c>
      <c r="B152" s="31" t="n">
        <v>43</v>
      </c>
      <c r="C152" s="31" t="inlineStr">
        <is>
          <t>ウィープノーモアの2020</t>
        </is>
      </c>
      <c r="D152" s="31" t="inlineStr">
        <is>
          <t>キープスマイリング (Keep Smiling)</t>
        </is>
      </c>
      <c r="E152" s="31" t="inlineStr">
        <is>
          <t>Quality Road</t>
        </is>
      </c>
      <c r="F152" s="31" t="inlineStr">
        <is>
          <t>メス</t>
        </is>
      </c>
      <c r="G152" s="31" t="n">
        <v>1</v>
      </c>
      <c r="H152" s="31" t="n">
        <v>7</v>
      </c>
      <c r="I152" s="31" t="n">
        <v>1</v>
      </c>
      <c r="J152" s="31" t="n">
        <v>3000</v>
      </c>
      <c r="K152" s="31" t="n">
        <v>512</v>
      </c>
      <c r="L152" s="31" t="n">
        <v>163</v>
      </c>
      <c r="M152" s="31" t="n">
        <v>182</v>
      </c>
      <c r="N152" s="31" t="n">
        <v>21.8</v>
      </c>
      <c r="O152" s="31" t="n">
        <v>400</v>
      </c>
      <c r="P152" s="31" t="inlineStr">
        <is>
          <t xml:space="preserve">武井亮 </t>
        </is>
      </c>
      <c r="Q152" s="31" t="inlineStr">
        <is>
          <t>10戦2勝</t>
        </is>
      </c>
      <c r="R152" s="31" t="n">
        <v>2</v>
      </c>
      <c r="S152" s="31" t="n">
        <v>0</v>
      </c>
      <c r="T152" s="31" t="n">
        <v>1750</v>
      </c>
      <c r="U152" s="31" t="n">
        <v>0</v>
      </c>
      <c r="V152" s="31" t="n">
        <v>0.58</v>
      </c>
      <c r="W152" s="31" t="n">
        <v>0</v>
      </c>
      <c r="X152" s="31" t="inlineStr">
        <is>
          <t>23'3歳以上1勝クラス23'3歳未勝利--&gt;</t>
        </is>
      </c>
      <c r="Y152" s="31" t="n">
        <v>2</v>
      </c>
      <c r="Z152" s="31" t="inlineStr">
        <is>
          <t>価格帯・420kg+</t>
        </is>
      </c>
    </row>
    <row r="153" ht="15" customHeight="1" s="19">
      <c r="A153" s="31" t="n">
        <v>2021</v>
      </c>
      <c r="B153" s="31" t="n">
        <v>45</v>
      </c>
      <c r="C153" s="31" t="inlineStr">
        <is>
          <t>アディクティドの2020</t>
        </is>
      </c>
      <c r="D153" s="31" t="inlineStr">
        <is>
          <t>アルアリング</t>
        </is>
      </c>
      <c r="E153" s="31" t="inlineStr">
        <is>
          <t>ロードカナロア</t>
        </is>
      </c>
      <c r="F153" s="31" t="inlineStr">
        <is>
          <t>メス</t>
        </is>
      </c>
      <c r="G153" s="31" t="n">
        <v>2</v>
      </c>
      <c r="H153" s="31" t="n">
        <v>14</v>
      </c>
      <c r="I153" s="31" t="n">
        <v>7</v>
      </c>
      <c r="J153" s="31" t="n">
        <v>4400</v>
      </c>
      <c r="K153" s="31" t="n">
        <v>479</v>
      </c>
      <c r="L153" s="31" t="n">
        <v>156</v>
      </c>
      <c r="M153" s="31" t="n">
        <v>176</v>
      </c>
      <c r="N153" s="31" t="n">
        <v>19.5</v>
      </c>
      <c r="O153" s="31" t="n">
        <v>400</v>
      </c>
      <c r="P153" s="31" t="inlineStr">
        <is>
          <t xml:space="preserve">高野友和 </t>
        </is>
      </c>
      <c r="Q153" s="31" t="inlineStr">
        <is>
          <t>0戦0勝</t>
        </is>
      </c>
      <c r="R153" s="31" t="n">
        <v>0</v>
      </c>
      <c r="S153" s="31" t="n">
        <v>0</v>
      </c>
      <c r="T153" s="31" t="n">
        <v>0</v>
      </c>
      <c r="U153" s="31" t="n">
        <v>0</v>
      </c>
      <c r="V153" s="31" t="n">
        <v>0</v>
      </c>
      <c r="W153" s="31" t="n">
        <v>0</v>
      </c>
      <c r="X153" s="31" t="inlineStr">
        <is>
          <t>--&gt;</t>
        </is>
      </c>
      <c r="Y153" s="31" t="n">
        <v>1</v>
      </c>
      <c r="Z153" s="31" t="inlineStr">
        <is>
          <t>420kg+</t>
        </is>
      </c>
    </row>
    <row r="154" ht="15" customHeight="1" s="19">
      <c r="A154" s="31" t="n">
        <v>2021</v>
      </c>
      <c r="B154" s="31" t="n">
        <v>46</v>
      </c>
      <c r="C154" s="31" t="inlineStr">
        <is>
          <t>フロアクラフトの2020</t>
        </is>
      </c>
      <c r="D154" s="31" t="inlineStr">
        <is>
          <t>ポルカリズム (Polka Rhythm)</t>
        </is>
      </c>
      <c r="E154" s="31" t="inlineStr">
        <is>
          <t>ロードカナロア</t>
        </is>
      </c>
      <c r="F154" s="31" t="inlineStr">
        <is>
          <t>メス</t>
        </is>
      </c>
      <c r="G154" s="31" t="n">
        <v>4</v>
      </c>
      <c r="H154" s="31" t="n">
        <v>10</v>
      </c>
      <c r="I154" s="31" t="n">
        <v>4</v>
      </c>
      <c r="J154" s="31" t="n">
        <v>4400</v>
      </c>
      <c r="K154" s="31" t="n">
        <v>431</v>
      </c>
      <c r="L154" s="31" t="n">
        <v>157</v>
      </c>
      <c r="M154" s="31" t="n">
        <v>173.5</v>
      </c>
      <c r="N154" s="31" t="n">
        <v>19.2</v>
      </c>
      <c r="O154" s="31" t="n">
        <v>400</v>
      </c>
      <c r="P154" s="31" t="inlineStr">
        <is>
          <t xml:space="preserve">中内田充正 </t>
        </is>
      </c>
      <c r="Q154" s="31" t="inlineStr">
        <is>
          <t>18戦4勝</t>
        </is>
      </c>
      <c r="R154" s="31" t="n">
        <v>4</v>
      </c>
      <c r="S154" s="31" t="n">
        <v>0</v>
      </c>
      <c r="T154" s="31" t="n">
        <v>7549</v>
      </c>
      <c r="U154" s="31" t="n">
        <v>0</v>
      </c>
      <c r="V154" s="31" t="n">
        <v>1.72</v>
      </c>
      <c r="W154" s="31" t="n">
        <v>0</v>
      </c>
      <c r="X154" s="31" t="inlineStr">
        <is>
          <t>26'若潮S(3勝クラス)24'御宿特別(2勝クラス)--&gt;</t>
        </is>
      </c>
      <c r="Y154" s="31" t="n">
        <v>1</v>
      </c>
      <c r="Z154" s="31" t="inlineStr">
        <is>
          <t>420kg+</t>
        </is>
      </c>
    </row>
    <row r="155" ht="15" customHeight="1" s="19">
      <c r="A155" s="31" t="n">
        <v>2021</v>
      </c>
      <c r="B155" s="31" t="n">
        <v>47</v>
      </c>
      <c r="C155" s="31" t="inlineStr">
        <is>
          <t>ワイの2020</t>
        </is>
      </c>
      <c r="D155" s="31" t="inlineStr">
        <is>
          <t>ロードマンハイム (Lord Mannheim)</t>
        </is>
      </c>
      <c r="E155" s="31" t="inlineStr">
        <is>
          <t>ロードカナロア</t>
        </is>
      </c>
      <c r="F155" s="31" t="inlineStr">
        <is>
          <t>メス</t>
        </is>
      </c>
      <c r="G155" s="31" t="n">
        <v>5</v>
      </c>
      <c r="H155" s="31" t="n">
        <v>12</v>
      </c>
      <c r="I155" s="31" t="n">
        <v>7</v>
      </c>
      <c r="J155" s="31" t="n">
        <v>4000</v>
      </c>
      <c r="K155" s="31" t="n">
        <v>433</v>
      </c>
      <c r="L155" s="31" t="n">
        <v>152.5</v>
      </c>
      <c r="M155" s="31" t="n">
        <v>177</v>
      </c>
      <c r="N155" s="31" t="n">
        <v>19.6</v>
      </c>
      <c r="O155" s="31" t="n">
        <v>400</v>
      </c>
      <c r="P155" s="31" t="inlineStr">
        <is>
          <t xml:space="preserve">武幸四郎 </t>
        </is>
      </c>
      <c r="Q155" s="31" t="inlineStr">
        <is>
          <t>24戦2勝</t>
        </is>
      </c>
      <c r="R155" s="31" t="n">
        <v>2</v>
      </c>
      <c r="S155" s="31" t="n">
        <v>0</v>
      </c>
      <c r="T155" s="31" t="n">
        <v>4760</v>
      </c>
      <c r="U155" s="31" t="n">
        <v>0</v>
      </c>
      <c r="V155" s="31" t="n">
        <v>1.19</v>
      </c>
      <c r="W155" s="31" t="n">
        <v>0</v>
      </c>
      <c r="X155" s="31" t="inlineStr">
        <is>
          <t>24'合馬特別(1勝クラス)23'3歳未勝利--&gt;</t>
        </is>
      </c>
      <c r="Y155" s="31" t="n">
        <v>1</v>
      </c>
      <c r="Z155" s="31" t="inlineStr">
        <is>
          <t>420kg+</t>
        </is>
      </c>
    </row>
    <row r="156" ht="15" customHeight="1" s="19">
      <c r="A156" s="31" t="n">
        <v>2021</v>
      </c>
      <c r="B156" s="31" t="n">
        <v>48</v>
      </c>
      <c r="C156" s="31" t="inlineStr">
        <is>
          <t>ホットスウェルの2020</t>
        </is>
      </c>
      <c r="D156" s="31" t="inlineStr">
        <is>
          <t>レイジングウェイブ (Raging Wave)</t>
        </is>
      </c>
      <c r="E156" s="31" t="inlineStr">
        <is>
          <t>ハーツクライ</t>
        </is>
      </c>
      <c r="F156" s="31" t="inlineStr">
        <is>
          <t>牡</t>
        </is>
      </c>
      <c r="G156" s="31" t="n">
        <v>5</v>
      </c>
      <c r="H156" s="31" t="n">
        <v>15</v>
      </c>
      <c r="I156" s="31" t="n">
        <v>9</v>
      </c>
      <c r="J156" s="31" t="n">
        <v>2800</v>
      </c>
      <c r="K156" s="31" t="n">
        <v>403</v>
      </c>
      <c r="L156" s="31" t="n">
        <v>151.5</v>
      </c>
      <c r="M156" s="31" t="n">
        <v>166</v>
      </c>
      <c r="N156" s="31" t="n">
        <v>18.5</v>
      </c>
      <c r="O156" s="31" t="n">
        <v>400</v>
      </c>
      <c r="P156" s="31" t="inlineStr">
        <is>
          <t xml:space="preserve">牧田和弥 </t>
        </is>
      </c>
      <c r="Q156" s="31" t="inlineStr">
        <is>
          <t>21戦2勝</t>
        </is>
      </c>
      <c r="R156" s="31" t="n">
        <v>0</v>
      </c>
      <c r="S156" s="31" t="n">
        <v>2</v>
      </c>
      <c r="T156" s="31" t="n">
        <v>0</v>
      </c>
      <c r="U156" s="31" t="n">
        <v>167</v>
      </c>
      <c r="V156" s="31" t="n">
        <v>0.06</v>
      </c>
      <c r="W156" s="31" t="n">
        <v>0</v>
      </c>
      <c r="X156" s="31" t="inlineStr">
        <is>
          <t>C21組C14組--&gt;</t>
        </is>
      </c>
      <c r="Y156" s="31" t="n">
        <v>2</v>
      </c>
      <c r="Z156" s="31" t="inlineStr">
        <is>
          <t>牡・価格帯</t>
        </is>
      </c>
    </row>
    <row r="157" ht="15" customHeight="1" s="19">
      <c r="A157" s="31" t="n">
        <v>2021</v>
      </c>
      <c r="B157" s="31" t="n">
        <v>53</v>
      </c>
      <c r="C157" s="31" t="inlineStr">
        <is>
          <t>レイリオンの2020</t>
        </is>
      </c>
      <c r="D157" s="31" t="inlineStr">
        <is>
          <t>ラレーヌデリス (La Reine des Lys)</t>
        </is>
      </c>
      <c r="E157" s="31" t="inlineStr">
        <is>
          <t>エピファネイア</t>
        </is>
      </c>
      <c r="F157" s="31" t="inlineStr">
        <is>
          <t>メス</t>
        </is>
      </c>
      <c r="G157" s="31" t="n">
        <v>1</v>
      </c>
      <c r="H157" s="31" t="n">
        <v>7</v>
      </c>
      <c r="I157" s="31" t="n">
        <v>1</v>
      </c>
      <c r="J157" s="31" t="n">
        <v>3400</v>
      </c>
      <c r="K157" s="31" t="n">
        <v>476</v>
      </c>
      <c r="L157" s="31" t="n">
        <v>156</v>
      </c>
      <c r="M157" s="31" t="n">
        <v>183</v>
      </c>
      <c r="N157" s="31" t="n">
        <v>19.3</v>
      </c>
      <c r="O157" s="31" t="n">
        <v>400</v>
      </c>
      <c r="P157" s="31" t="inlineStr">
        <is>
          <t xml:space="preserve">安田翔伍 </t>
        </is>
      </c>
      <c r="Q157" s="31" t="inlineStr">
        <is>
          <t>22戦2勝</t>
        </is>
      </c>
      <c r="R157" s="31" t="n">
        <v>2</v>
      </c>
      <c r="S157" s="31" t="n">
        <v>0</v>
      </c>
      <c r="T157" s="31" t="n">
        <v>4741</v>
      </c>
      <c r="U157" s="31" t="n">
        <v>0</v>
      </c>
      <c r="V157" s="31" t="n">
        <v>1.39</v>
      </c>
      <c r="W157" s="31" t="n">
        <v>0</v>
      </c>
      <c r="X157" s="31" t="inlineStr">
        <is>
          <t>23'3歳以上1勝クラス23'3歳未勝利--&gt;</t>
        </is>
      </c>
      <c r="Y157" s="31" t="n">
        <v>2</v>
      </c>
      <c r="Z157" s="31" t="inlineStr">
        <is>
          <t>価格帯・420kg+</t>
        </is>
      </c>
    </row>
    <row r="158" ht="15" customHeight="1" s="19">
      <c r="A158" s="31" t="n">
        <v>2021</v>
      </c>
      <c r="B158" s="31" t="n">
        <v>55</v>
      </c>
      <c r="C158" s="31" t="inlineStr">
        <is>
          <t>リーチングの2020</t>
        </is>
      </c>
      <c r="D158" s="31" t="inlineStr">
        <is>
          <t>リーチエミネンス (Reach Eminence)</t>
        </is>
      </c>
      <c r="E158" s="31" t="inlineStr">
        <is>
          <t>ドゥラメンテ</t>
        </is>
      </c>
      <c r="F158" s="31" t="inlineStr">
        <is>
          <t>メス</t>
        </is>
      </c>
      <c r="G158" s="31" t="n">
        <v>4</v>
      </c>
      <c r="H158" s="31" t="n">
        <v>11</v>
      </c>
      <c r="I158" s="31" t="n">
        <v>7</v>
      </c>
      <c r="J158" s="31" t="n">
        <v>2400</v>
      </c>
      <c r="K158" s="31" t="n">
        <v>410</v>
      </c>
      <c r="L158" s="31" t="n">
        <v>151.5</v>
      </c>
      <c r="M158" s="31" t="n">
        <v>167.5</v>
      </c>
      <c r="N158" s="31" t="n">
        <v>19.1</v>
      </c>
      <c r="O158" s="31" t="n">
        <v>400</v>
      </c>
      <c r="P158" s="31" t="inlineStr">
        <is>
          <t xml:space="preserve">杉山晴紀 </t>
        </is>
      </c>
      <c r="Q158" s="31" t="inlineStr">
        <is>
          <t>3戦0勝</t>
        </is>
      </c>
      <c r="R158" s="31" t="n">
        <v>0</v>
      </c>
      <c r="S158" s="31" t="n">
        <v>0</v>
      </c>
      <c r="T158" s="31" t="n">
        <v>0</v>
      </c>
      <c r="U158" s="31" t="n">
        <v>0</v>
      </c>
      <c r="V158" s="31" t="n">
        <v>0</v>
      </c>
      <c r="W158" s="31" t="n">
        <v>0</v>
      </c>
      <c r="X158" s="31" t="inlineStr">
        <is>
          <t>--&gt;</t>
        </is>
      </c>
      <c r="Y158" s="31" t="n">
        <v>0</v>
      </c>
      <c r="Z158" s="31" t="inlineStr"/>
    </row>
    <row r="159" ht="15" customHeight="1" s="19">
      <c r="A159" s="31" t="n">
        <v>2021</v>
      </c>
      <c r="B159" s="31" t="n">
        <v>56</v>
      </c>
      <c r="C159" s="31" t="inlineStr">
        <is>
          <t>コルコバードの2020</t>
        </is>
      </c>
      <c r="D159" s="31" t="inlineStr">
        <is>
          <t>パンデアスカル (Pao de Acucar)</t>
        </is>
      </c>
      <c r="E159" s="31" t="inlineStr">
        <is>
          <t>モーリス</t>
        </is>
      </c>
      <c r="F159" s="31" t="inlineStr">
        <is>
          <t>牡</t>
        </is>
      </c>
      <c r="G159" s="31" t="n">
        <v>4</v>
      </c>
      <c r="H159" s="31" t="n">
        <v>7</v>
      </c>
      <c r="I159" s="31" t="n">
        <v>1</v>
      </c>
      <c r="J159" s="31" t="n">
        <v>4000</v>
      </c>
      <c r="K159" s="31" t="n">
        <v>438</v>
      </c>
      <c r="L159" s="31" t="n">
        <v>157</v>
      </c>
      <c r="M159" s="31" t="n">
        <v>173</v>
      </c>
      <c r="N159" s="31" t="n">
        <v>20.4</v>
      </c>
      <c r="O159" s="31" t="n">
        <v>400</v>
      </c>
      <c r="P159" s="31" t="inlineStr">
        <is>
          <t xml:space="preserve">高野友和 </t>
        </is>
      </c>
      <c r="Q159" s="31" t="inlineStr">
        <is>
          <t>23戦2勝</t>
        </is>
      </c>
      <c r="R159" s="31" t="n">
        <v>2</v>
      </c>
      <c r="S159" s="31" t="n">
        <v>0</v>
      </c>
      <c r="T159" s="31" t="n">
        <v>3420</v>
      </c>
      <c r="U159" s="31" t="n">
        <v>0</v>
      </c>
      <c r="V159" s="31" t="n">
        <v>0.85</v>
      </c>
      <c r="W159" s="31" t="n">
        <v>0</v>
      </c>
      <c r="X159" s="31" t="inlineStr">
        <is>
          <t>23'3歳以上1勝クラス22'2歳未勝利--&gt;</t>
        </is>
      </c>
      <c r="Y159" s="31" t="n">
        <v>2</v>
      </c>
      <c r="Z159" s="31" t="inlineStr">
        <is>
          <t>牡・420kg+</t>
        </is>
      </c>
    </row>
    <row r="160" ht="15" customHeight="1" s="19">
      <c r="A160" s="31" t="n">
        <v>2021</v>
      </c>
      <c r="B160" s="31" t="n">
        <v>58</v>
      </c>
      <c r="C160" s="31" t="inlineStr">
        <is>
          <t>スペクトロライトの2020</t>
        </is>
      </c>
      <c r="D160" s="31" t="inlineStr">
        <is>
          <t>ユレマー (Ylamaa)</t>
        </is>
      </c>
      <c r="E160" s="31" t="inlineStr">
        <is>
          <t>モーリス</t>
        </is>
      </c>
      <c r="F160" s="31" t="inlineStr">
        <is>
          <t>メス</t>
        </is>
      </c>
      <c r="G160" s="31" t="n">
        <v>1</v>
      </c>
      <c r="H160" s="31" t="n">
        <v>10</v>
      </c>
      <c r="I160" s="31" t="n">
        <v>4</v>
      </c>
      <c r="J160" s="31" t="n">
        <v>2400</v>
      </c>
      <c r="K160" s="31" t="n">
        <v>467</v>
      </c>
      <c r="L160" s="31" t="n">
        <v>153.5</v>
      </c>
      <c r="M160" s="31" t="n">
        <v>181</v>
      </c>
      <c r="N160" s="31" t="n">
        <v>19.7</v>
      </c>
      <c r="O160" s="31" t="n">
        <v>400</v>
      </c>
      <c r="P160" s="31" t="inlineStr">
        <is>
          <t xml:space="preserve">石坂公一 </t>
        </is>
      </c>
      <c r="Q160" s="31" t="inlineStr">
        <is>
          <t>68戦1勝</t>
        </is>
      </c>
      <c r="R160" s="31" t="n">
        <v>0</v>
      </c>
      <c r="S160" s="31" t="n">
        <v>1</v>
      </c>
      <c r="T160" s="31" t="n">
        <v>0</v>
      </c>
      <c r="U160" s="31" t="n">
        <v>194</v>
      </c>
      <c r="V160" s="31" t="n">
        <v>0.08</v>
      </c>
      <c r="W160" s="31" t="n">
        <v>0</v>
      </c>
      <c r="X160" s="31" t="inlineStr">
        <is>
          <t>C級未勝利--&gt;</t>
        </is>
      </c>
      <c r="Y160" s="31" t="n">
        <v>1</v>
      </c>
      <c r="Z160" s="31" t="inlineStr">
        <is>
          <t>420kg+</t>
        </is>
      </c>
    </row>
    <row r="161" ht="15" customHeight="1" s="19">
      <c r="A161" s="31" t="n">
        <v>2021</v>
      </c>
      <c r="B161" s="31" t="n">
        <v>59</v>
      </c>
      <c r="C161" s="31" t="inlineStr">
        <is>
          <t>グランデアモーレの2020</t>
        </is>
      </c>
      <c r="D161" s="31" t="inlineStr">
        <is>
          <t>ハートループ (Heart Loop)</t>
        </is>
      </c>
      <c r="E161" s="31" t="inlineStr">
        <is>
          <t>モーリス</t>
        </is>
      </c>
      <c r="F161" s="31" t="inlineStr">
        <is>
          <t>メス</t>
        </is>
      </c>
      <c r="G161" s="31" t="n">
        <v>3</v>
      </c>
      <c r="H161" s="31" t="n">
        <v>10</v>
      </c>
      <c r="I161" s="31" t="n">
        <v>4</v>
      </c>
      <c r="J161" s="31" t="n">
        <v>3400</v>
      </c>
      <c r="K161" s="31" t="n">
        <v>465</v>
      </c>
      <c r="L161" s="31" t="n">
        <v>156.5</v>
      </c>
      <c r="M161" s="31" t="n">
        <v>178</v>
      </c>
      <c r="N161" s="31" t="n">
        <v>20</v>
      </c>
      <c r="O161" s="31" t="n">
        <v>400</v>
      </c>
      <c r="P161" s="31" t="inlineStr">
        <is>
          <t xml:space="preserve">池添学 </t>
        </is>
      </c>
      <c r="Q161" s="31" t="inlineStr">
        <is>
          <t>51戦2勝</t>
        </is>
      </c>
      <c r="R161" s="31" t="n">
        <v>1</v>
      </c>
      <c r="S161" s="31" t="n">
        <v>1</v>
      </c>
      <c r="T161" s="31" t="n">
        <v>620</v>
      </c>
      <c r="U161" s="31" t="n">
        <v>234</v>
      </c>
      <c r="V161" s="31" t="n">
        <v>0.25</v>
      </c>
      <c r="W161" s="31" t="n">
        <v>0</v>
      </c>
      <c r="X161" s="31" t="inlineStr">
        <is>
          <t>23'3歳新馬C1--&gt;</t>
        </is>
      </c>
      <c r="Y161" s="31" t="n">
        <v>2</v>
      </c>
      <c r="Z161" s="31" t="inlineStr">
        <is>
          <t>価格帯・420kg+</t>
        </is>
      </c>
    </row>
    <row r="162" ht="15" customHeight="1" s="19">
      <c r="A162" s="31" t="n">
        <v>2021</v>
      </c>
      <c r="B162" s="31" t="n">
        <v>60</v>
      </c>
      <c r="C162" s="31" t="inlineStr">
        <is>
          <t>リリカルホワイトの2020</t>
        </is>
      </c>
      <c r="D162" s="31" t="inlineStr">
        <is>
          <t>クールブロン (Coeur Blanc)</t>
        </is>
      </c>
      <c r="E162" s="31" t="inlineStr">
        <is>
          <t>ドレフォン</t>
        </is>
      </c>
      <c r="F162" s="31" t="inlineStr">
        <is>
          <t>牡</t>
        </is>
      </c>
      <c r="G162" s="31" t="n">
        <v>2</v>
      </c>
      <c r="H162" s="31" t="n">
        <v>7</v>
      </c>
      <c r="I162" s="31" t="n">
        <v>1</v>
      </c>
      <c r="J162" s="31" t="n">
        <v>3400</v>
      </c>
      <c r="K162" s="31" t="n">
        <v>478</v>
      </c>
      <c r="L162" s="31" t="n">
        <v>159.5</v>
      </c>
      <c r="M162" s="31" t="n">
        <v>176</v>
      </c>
      <c r="N162" s="31" t="n">
        <v>20.3</v>
      </c>
      <c r="O162" s="31" t="n">
        <v>400</v>
      </c>
      <c r="P162" s="31" t="inlineStr">
        <is>
          <t xml:space="preserve">武幸四郎 </t>
        </is>
      </c>
      <c r="Q162" s="31" t="inlineStr">
        <is>
          <t>28戦3勝</t>
        </is>
      </c>
      <c r="R162" s="31" t="n">
        <v>3</v>
      </c>
      <c r="S162" s="31" t="n">
        <v>0</v>
      </c>
      <c r="T162" s="31" t="n">
        <v>5460</v>
      </c>
      <c r="U162" s="31" t="n">
        <v>0</v>
      </c>
      <c r="V162" s="31" t="n">
        <v>1.61</v>
      </c>
      <c r="W162" s="31" t="n">
        <v>0</v>
      </c>
      <c r="X162" s="31" t="inlineStr">
        <is>
          <t>25'西湖特別(2勝クラス)24'4歳以上1勝クラス--&gt;</t>
        </is>
      </c>
      <c r="Y162" s="31" t="n">
        <v>3</v>
      </c>
      <c r="Z162" s="31" t="inlineStr">
        <is>
          <t>牡・価格帯・420kg+</t>
        </is>
      </c>
    </row>
    <row r="163" ht="15" customHeight="1" s="19">
      <c r="A163" s="31" t="n">
        <v>2021</v>
      </c>
      <c r="B163" s="31" t="n">
        <v>61</v>
      </c>
      <c r="C163" s="31" t="inlineStr">
        <is>
          <t>ラフォルジュルネの2020</t>
        </is>
      </c>
      <c r="D163" s="31" t="inlineStr">
        <is>
          <t>ボーマルシェ (Beaumarchais)</t>
        </is>
      </c>
      <c r="E163" s="31" t="inlineStr">
        <is>
          <t>ドレフォン</t>
        </is>
      </c>
      <c r="F163" s="31" t="inlineStr">
        <is>
          <t>牡</t>
        </is>
      </c>
      <c r="G163" s="31" t="n">
        <v>2</v>
      </c>
      <c r="H163" s="31" t="n">
        <v>13</v>
      </c>
      <c r="I163" s="31" t="n">
        <v>6</v>
      </c>
      <c r="J163" s="31" t="n">
        <v>3000</v>
      </c>
      <c r="K163" s="31" t="n">
        <v>446</v>
      </c>
      <c r="L163" s="31" t="n">
        <v>156</v>
      </c>
      <c r="M163" s="31" t="n">
        <v>177</v>
      </c>
      <c r="N163" s="31" t="n">
        <v>20.7</v>
      </c>
      <c r="O163" s="31" t="n">
        <v>400</v>
      </c>
      <c r="P163" s="31" t="inlineStr">
        <is>
          <t xml:space="preserve">平田修 </t>
        </is>
      </c>
      <c r="Q163" s="31" t="inlineStr">
        <is>
          <t>1戦0勝</t>
        </is>
      </c>
      <c r="R163" s="31" t="n">
        <v>0</v>
      </c>
      <c r="S163" s="31" t="n">
        <v>0</v>
      </c>
      <c r="T163" s="31" t="n">
        <v>0</v>
      </c>
      <c r="U163" s="31" t="n">
        <v>0</v>
      </c>
      <c r="V163" s="31" t="n">
        <v>0</v>
      </c>
      <c r="W163" s="31" t="n">
        <v>0</v>
      </c>
      <c r="X163" s="31" t="inlineStr">
        <is>
          <t>--&gt;</t>
        </is>
      </c>
      <c r="Y163" s="31" t="n">
        <v>3</v>
      </c>
      <c r="Z163" s="31" t="inlineStr">
        <is>
          <t>牡・価格帯・420kg+</t>
        </is>
      </c>
    </row>
    <row r="164" ht="15" customHeight="1" s="19">
      <c r="A164" s="31" t="n">
        <v>2021</v>
      </c>
      <c r="B164" s="31" t="n">
        <v>62</v>
      </c>
      <c r="C164" s="31" t="inlineStr">
        <is>
          <t>ディアデラノビアの2020</t>
        </is>
      </c>
      <c r="D164" s="31" t="inlineStr">
        <is>
          <t>メグスタス (Me Gustas)</t>
        </is>
      </c>
      <c r="E164" s="31" t="inlineStr">
        <is>
          <t>ドレフォン</t>
        </is>
      </c>
      <c r="F164" s="31" t="inlineStr">
        <is>
          <t>メス</t>
        </is>
      </c>
      <c r="G164" s="31" t="n">
        <v>3</v>
      </c>
      <c r="H164" s="31" t="n">
        <v>18</v>
      </c>
      <c r="I164" s="31" t="n">
        <v>12</v>
      </c>
      <c r="J164" s="31" t="n">
        <v>2000</v>
      </c>
      <c r="K164" s="31" t="n">
        <v>387</v>
      </c>
      <c r="L164" s="31" t="n">
        <v>152</v>
      </c>
      <c r="M164" s="31" t="n">
        <v>164</v>
      </c>
      <c r="N164" s="31" t="n">
        <v>19</v>
      </c>
      <c r="O164" s="31" t="n">
        <v>400</v>
      </c>
      <c r="P164" s="31" t="inlineStr">
        <is>
          <t xml:space="preserve">森田直行 </t>
        </is>
      </c>
      <c r="Q164" s="31" t="inlineStr">
        <is>
          <t>5戦0勝</t>
        </is>
      </c>
      <c r="R164" s="31" t="n">
        <v>0</v>
      </c>
      <c r="S164" s="31" t="n">
        <v>0</v>
      </c>
      <c r="T164" s="31" t="n">
        <v>180</v>
      </c>
      <c r="U164" s="31" t="n">
        <v>0</v>
      </c>
      <c r="V164" s="31" t="n">
        <v>0.09</v>
      </c>
      <c r="W164" s="31" t="n">
        <v>0</v>
      </c>
      <c r="X164" s="31" t="inlineStr">
        <is>
          <t>--&gt;</t>
        </is>
      </c>
      <c r="Y164" s="31" t="n">
        <v>0</v>
      </c>
      <c r="Z164" s="31" t="inlineStr"/>
    </row>
    <row r="165" ht="15" customHeight="1" s="19">
      <c r="A165" s="31" t="n">
        <v>2021</v>
      </c>
      <c r="B165" s="31" t="n">
        <v>63</v>
      </c>
      <c r="C165" s="31" t="inlineStr">
        <is>
          <t>ライジングクロスの2020</t>
        </is>
      </c>
      <c r="D165" s="31" t="inlineStr">
        <is>
          <t>ライジングホープ (Rising Hope)</t>
        </is>
      </c>
      <c r="E165" s="31" t="inlineStr">
        <is>
          <t>リアルスティール</t>
        </is>
      </c>
      <c r="F165" s="31" t="inlineStr">
        <is>
          <t>メス</t>
        </is>
      </c>
      <c r="G165" s="31" t="n">
        <v>2</v>
      </c>
      <c r="H165" s="31" t="n">
        <v>17</v>
      </c>
      <c r="I165" s="31" t="n">
        <v>11</v>
      </c>
      <c r="J165" s="31" t="n">
        <v>2800</v>
      </c>
      <c r="K165" s="31" t="n">
        <v>438</v>
      </c>
      <c r="L165" s="31" t="n">
        <v>151</v>
      </c>
      <c r="M165" s="31" t="n">
        <v>173.5</v>
      </c>
      <c r="N165" s="31" t="n">
        <v>19.3</v>
      </c>
      <c r="O165" s="31" t="n">
        <v>400</v>
      </c>
      <c r="P165" s="31" t="inlineStr">
        <is>
          <t xml:space="preserve">松下武士 </t>
        </is>
      </c>
      <c r="Q165" s="31" t="inlineStr">
        <is>
          <t>29戦2勝</t>
        </is>
      </c>
      <c r="R165" s="31" t="n">
        <v>0</v>
      </c>
      <c r="S165" s="31" t="n">
        <v>2</v>
      </c>
      <c r="T165" s="31" t="n">
        <v>500</v>
      </c>
      <c r="U165" s="31" t="n">
        <v>142</v>
      </c>
      <c r="V165" s="31" t="n">
        <v>0.23</v>
      </c>
      <c r="W165" s="31" t="n">
        <v>0</v>
      </c>
      <c r="X165" s="31" t="inlineStr">
        <is>
          <t>C1C2三組--&gt;</t>
        </is>
      </c>
      <c r="Y165" s="31" t="n">
        <v>2</v>
      </c>
      <c r="Z165" s="31" t="inlineStr">
        <is>
          <t>価格帯・420kg+</t>
        </is>
      </c>
    </row>
    <row r="166" ht="15" customHeight="1" s="19">
      <c r="A166" s="31" t="n">
        <v>2021</v>
      </c>
      <c r="B166" s="31" t="n">
        <v>64</v>
      </c>
      <c r="C166" s="31" t="inlineStr">
        <is>
          <t>ラカリフォルニーの2020</t>
        </is>
      </c>
      <c r="D166" s="31" t="inlineStr">
        <is>
          <t>モンテコルノ (Monte Corno)</t>
        </is>
      </c>
      <c r="E166" s="31" t="inlineStr">
        <is>
          <t>キタサンブラック</t>
        </is>
      </c>
      <c r="F166" s="31" t="inlineStr">
        <is>
          <t>牡</t>
        </is>
      </c>
      <c r="G166" s="31" t="n">
        <v>2</v>
      </c>
      <c r="H166" s="31" t="n">
        <v>7</v>
      </c>
      <c r="I166" s="31" t="n">
        <v>3</v>
      </c>
      <c r="J166" s="31" t="n">
        <v>2800</v>
      </c>
      <c r="K166" s="31" t="n">
        <v>456</v>
      </c>
      <c r="L166" s="31" t="n">
        <v>156</v>
      </c>
      <c r="M166" s="31" t="n">
        <v>181</v>
      </c>
      <c r="N166" s="31" t="n">
        <v>21.5</v>
      </c>
      <c r="O166" s="31" t="n">
        <v>400</v>
      </c>
      <c r="P166" s="31" t="inlineStr">
        <is>
          <t xml:space="preserve">奥村豊 </t>
        </is>
      </c>
      <c r="Q166" s="31" t="inlineStr">
        <is>
          <t>55戦2勝</t>
        </is>
      </c>
      <c r="R166" s="31" t="n">
        <v>0</v>
      </c>
      <c r="S166" s="31" t="n">
        <v>2</v>
      </c>
      <c r="T166" s="31" t="n">
        <v>140</v>
      </c>
      <c r="U166" s="31" t="n">
        <v>216</v>
      </c>
      <c r="V166" s="31" t="n">
        <v>0.13</v>
      </c>
      <c r="W166" s="31" t="n">
        <v>0</v>
      </c>
      <c r="X166" s="31" t="inlineStr">
        <is>
          <t>C2ー17組オッズパークpresentsホークス杯--&gt;</t>
        </is>
      </c>
      <c r="Y166" s="31" t="n">
        <v>3</v>
      </c>
      <c r="Z166" s="31" t="inlineStr">
        <is>
          <t>牡・価格帯・420kg+</t>
        </is>
      </c>
    </row>
    <row r="167" ht="15" customHeight="1" s="19">
      <c r="A167" s="31" t="n">
        <v>2021</v>
      </c>
      <c r="B167" s="31" t="n">
        <v>66</v>
      </c>
      <c r="C167" s="31" t="inlineStr">
        <is>
          <t>プラチナブロンドの2020</t>
        </is>
      </c>
      <c r="D167" s="31" t="inlineStr">
        <is>
          <t>ガーランドスタイル (Garland Style)</t>
        </is>
      </c>
      <c r="E167" s="31" t="inlineStr">
        <is>
          <t>サトノダイヤモンド</t>
        </is>
      </c>
      <c r="F167" s="31" t="inlineStr">
        <is>
          <t>牡</t>
        </is>
      </c>
      <c r="G167" s="31" t="n">
        <v>4</v>
      </c>
      <c r="H167" s="31" t="n">
        <v>9</v>
      </c>
      <c r="I167" s="31" t="n">
        <v>3</v>
      </c>
      <c r="J167" s="31" t="n">
        <v>3200</v>
      </c>
      <c r="K167" s="31" t="n">
        <v>407</v>
      </c>
      <c r="L167" s="31" t="n">
        <v>147.5</v>
      </c>
      <c r="M167" s="31" t="n">
        <v>166.5</v>
      </c>
      <c r="N167" s="31" t="n">
        <v>20.2</v>
      </c>
      <c r="O167" s="31" t="n">
        <v>400</v>
      </c>
      <c r="P167" s="31" t="inlineStr">
        <is>
          <t xml:space="preserve">橋口慎介 </t>
        </is>
      </c>
      <c r="Q167" s="31" t="inlineStr">
        <is>
          <t>19戦0勝</t>
        </is>
      </c>
      <c r="R167" s="31" t="n">
        <v>0</v>
      </c>
      <c r="S167" s="31" t="n">
        <v>0</v>
      </c>
      <c r="T167" s="31" t="n">
        <v>313</v>
      </c>
      <c r="U167" s="31" t="n">
        <v>33</v>
      </c>
      <c r="V167" s="31" t="n">
        <v>0.11</v>
      </c>
      <c r="W167" s="31" t="n">
        <v>0</v>
      </c>
      <c r="X167" s="31" t="inlineStr">
        <is>
          <t>--&gt;</t>
        </is>
      </c>
      <c r="Y167" s="31" t="n">
        <v>2</v>
      </c>
      <c r="Z167" s="31" t="inlineStr">
        <is>
          <t>牡・価格帯</t>
        </is>
      </c>
    </row>
    <row r="168" ht="15" customHeight="1" s="19">
      <c r="A168" s="31" t="n">
        <v>2021</v>
      </c>
      <c r="B168" s="31" t="n">
        <v>67</v>
      </c>
      <c r="C168" s="31" t="inlineStr">
        <is>
          <t>ピースエンブレムの2020</t>
        </is>
      </c>
      <c r="D168" s="31" t="inlineStr">
        <is>
          <t>ブルーペクトライト (Blue Pectolite)</t>
        </is>
      </c>
      <c r="E168" s="31" t="inlineStr">
        <is>
          <t>サトノダイヤモンド</t>
        </is>
      </c>
      <c r="F168" s="31" t="inlineStr">
        <is>
          <t>メス</t>
        </is>
      </c>
      <c r="G168" s="31" t="n">
        <v>3</v>
      </c>
      <c r="H168" s="31" t="n">
        <v>14</v>
      </c>
      <c r="I168" s="31" t="n">
        <v>6</v>
      </c>
      <c r="J168" s="31" t="n">
        <v>2400</v>
      </c>
      <c r="K168" s="31" t="n">
        <v>460</v>
      </c>
      <c r="L168" s="31" t="n">
        <v>154.5</v>
      </c>
      <c r="M168" s="31" t="n">
        <v>176.5</v>
      </c>
      <c r="N168" s="31" t="n">
        <v>19.7</v>
      </c>
      <c r="O168" s="31" t="n">
        <v>400</v>
      </c>
      <c r="P168" s="31" t="inlineStr">
        <is>
          <t xml:space="preserve">池添学 </t>
        </is>
      </c>
      <c r="Q168" s="31" t="inlineStr">
        <is>
          <t>26戦2勝</t>
        </is>
      </c>
      <c r="R168" s="31" t="n">
        <v>2</v>
      </c>
      <c r="S168" s="31" t="n">
        <v>0</v>
      </c>
      <c r="T168" s="31" t="n">
        <v>3134</v>
      </c>
      <c r="U168" s="31" t="n">
        <v>0</v>
      </c>
      <c r="V168" s="31" t="n">
        <v>1.31</v>
      </c>
      <c r="W168" s="31" t="n">
        <v>0</v>
      </c>
      <c r="X168" s="31" t="inlineStr">
        <is>
          <t>25'4歳以上1勝クラス23'3歳未勝利--&gt;</t>
        </is>
      </c>
      <c r="Y168" s="31" t="n">
        <v>1</v>
      </c>
      <c r="Z168" s="31" t="inlineStr">
        <is>
          <t>420kg+</t>
        </is>
      </c>
    </row>
    <row r="169" ht="15" customHeight="1" s="19">
      <c r="A169" s="31" t="n">
        <v>2021</v>
      </c>
      <c r="B169" s="31" t="n">
        <v>68</v>
      </c>
      <c r="C169" s="31" t="inlineStr">
        <is>
          <t>エレガントマナーの2020</t>
        </is>
      </c>
      <c r="D169" s="31" t="inlineStr">
        <is>
          <t>ラッフィナート (Raffinato)</t>
        </is>
      </c>
      <c r="E169" s="31" t="inlineStr">
        <is>
          <t>ハービンジャー</t>
        </is>
      </c>
      <c r="F169" s="31" t="inlineStr">
        <is>
          <t>牡</t>
        </is>
      </c>
      <c r="G169" s="31" t="n">
        <v>3</v>
      </c>
      <c r="H169" s="31" t="n">
        <v>14</v>
      </c>
      <c r="I169" s="31" t="n">
        <v>9</v>
      </c>
      <c r="J169" s="31" t="n">
        <v>3000</v>
      </c>
      <c r="K169" s="31" t="n">
        <v>418</v>
      </c>
      <c r="L169" s="31" t="n">
        <v>152</v>
      </c>
      <c r="M169" s="31" t="n">
        <v>173</v>
      </c>
      <c r="N169" s="31" t="n">
        <v>20.5</v>
      </c>
      <c r="O169" s="31" t="n">
        <v>400</v>
      </c>
      <c r="P169" s="31" t="inlineStr">
        <is>
          <t xml:space="preserve">藤岡健一 </t>
        </is>
      </c>
      <c r="Q169" s="31" t="inlineStr">
        <is>
          <t>0戦0勝</t>
        </is>
      </c>
      <c r="R169" s="31" t="n">
        <v>0</v>
      </c>
      <c r="S169" s="31" t="n">
        <v>0</v>
      </c>
      <c r="T169" s="31" t="n">
        <v>0</v>
      </c>
      <c r="U169" s="31" t="n">
        <v>0</v>
      </c>
      <c r="V169" s="31" t="n">
        <v>0</v>
      </c>
      <c r="W169" s="31" t="n">
        <v>0</v>
      </c>
      <c r="X169" s="31" t="inlineStr">
        <is>
          <t>--&gt;</t>
        </is>
      </c>
      <c r="Y169" s="31" t="n">
        <v>2</v>
      </c>
      <c r="Z169" s="31" t="inlineStr">
        <is>
          <t>牡・価格帯</t>
        </is>
      </c>
    </row>
    <row r="170" ht="15" customHeight="1" s="19">
      <c r="A170" s="31" t="n">
        <v>2021</v>
      </c>
      <c r="B170" s="31" t="n">
        <v>70</v>
      </c>
      <c r="C170" s="31" t="inlineStr">
        <is>
          <t>ローズノーブルの2020</t>
        </is>
      </c>
      <c r="D170" s="31" t="inlineStr">
        <is>
          <t>ミントマーク (Mint Mark)</t>
        </is>
      </c>
      <c r="E170" s="31" t="inlineStr">
        <is>
          <t>ルーラーシップ</t>
        </is>
      </c>
      <c r="F170" s="31" t="inlineStr">
        <is>
          <t>牡</t>
        </is>
      </c>
      <c r="G170" s="31" t="n">
        <v>3</v>
      </c>
      <c r="H170" s="31" t="n">
        <v>11</v>
      </c>
      <c r="I170" s="31" t="n">
        <v>5</v>
      </c>
      <c r="J170" s="31" t="n">
        <v>3600</v>
      </c>
      <c r="K170" s="31" t="n">
        <v>444</v>
      </c>
      <c r="L170" s="31" t="n">
        <v>155</v>
      </c>
      <c r="M170" s="31" t="n">
        <v>174.5</v>
      </c>
      <c r="N170" s="31" t="n">
        <v>20.4</v>
      </c>
      <c r="O170" s="31" t="n">
        <v>400</v>
      </c>
      <c r="P170" s="31" t="inlineStr">
        <is>
          <t xml:space="preserve">池添学 </t>
        </is>
      </c>
      <c r="Q170" s="31" t="inlineStr">
        <is>
          <t>17戦2勝</t>
        </is>
      </c>
      <c r="R170" s="31" t="n">
        <v>2</v>
      </c>
      <c r="S170" s="31" t="n">
        <v>0</v>
      </c>
      <c r="T170" s="31" t="n">
        <v>3913</v>
      </c>
      <c r="U170" s="31" t="n">
        <v>0</v>
      </c>
      <c r="V170" s="31" t="n">
        <v>1.09</v>
      </c>
      <c r="W170" s="31" t="n">
        <v>0</v>
      </c>
      <c r="X170" s="31" t="inlineStr">
        <is>
          <t>25'3歳以上1勝クラス23'3歳未勝利--&gt;</t>
        </is>
      </c>
      <c r="Y170" s="31" t="n">
        <v>3</v>
      </c>
      <c r="Z170" s="31" t="inlineStr">
        <is>
          <t>牡・価格帯・420kg+</t>
        </is>
      </c>
    </row>
    <row r="171" ht="15" customHeight="1" s="19">
      <c r="A171" s="31" t="n">
        <v>2021</v>
      </c>
      <c r="B171" s="31" t="n">
        <v>73</v>
      </c>
      <c r="C171" s="31" t="inlineStr">
        <is>
          <t>ピュアブリーゼの2020</t>
        </is>
      </c>
      <c r="D171" s="31" t="inlineStr">
        <is>
          <t>フェアリーピコ (Fairy Pico)</t>
        </is>
      </c>
      <c r="E171" s="31" t="inlineStr">
        <is>
          <t>キンシャサノキセキ</t>
        </is>
      </c>
      <c r="F171" s="31" t="inlineStr">
        <is>
          <t>メス</t>
        </is>
      </c>
      <c r="G171" s="31" t="n">
        <v>1</v>
      </c>
      <c r="H171" s="31" t="n">
        <v>12</v>
      </c>
      <c r="I171" s="31" t="n">
        <v>6</v>
      </c>
      <c r="J171" s="31" t="n">
        <v>1600</v>
      </c>
      <c r="K171" s="31" t="n">
        <v>425</v>
      </c>
      <c r="L171" s="31" t="n">
        <v>149.5</v>
      </c>
      <c r="M171" s="31" t="n">
        <v>173</v>
      </c>
      <c r="N171" s="31" t="n">
        <v>19.6</v>
      </c>
      <c r="O171" s="31" t="n">
        <v>400</v>
      </c>
      <c r="P171" s="31" t="inlineStr">
        <is>
          <t xml:space="preserve">茶木太樹 </t>
        </is>
      </c>
      <c r="Q171" s="31" t="inlineStr">
        <is>
          <t>33戦1勝</t>
        </is>
      </c>
      <c r="R171" s="31" t="n">
        <v>0</v>
      </c>
      <c r="S171" s="31" t="n">
        <v>1</v>
      </c>
      <c r="T171" s="31" t="n">
        <v>0</v>
      </c>
      <c r="U171" s="31" t="n">
        <v>202</v>
      </c>
      <c r="V171" s="31" t="n">
        <v>0.13</v>
      </c>
      <c r="W171" s="31" t="n">
        <v>0</v>
      </c>
      <c r="X171" s="31" t="inlineStr">
        <is>
          <t>C21組--&gt;</t>
        </is>
      </c>
      <c r="Y171" s="31" t="n">
        <v>1</v>
      </c>
      <c r="Z171" s="31" t="inlineStr">
        <is>
          <t>420kg+</t>
        </is>
      </c>
    </row>
    <row r="172" ht="15" customHeight="1" s="19">
      <c r="A172" s="31" t="n">
        <v>2021</v>
      </c>
      <c r="B172" s="31" t="n">
        <v>74</v>
      </c>
      <c r="C172" s="31" t="inlineStr">
        <is>
          <t>グレイシアブルーの2020</t>
        </is>
      </c>
      <c r="D172" s="31" t="inlineStr">
        <is>
          <t>ブリックスダール (Briksdal)</t>
        </is>
      </c>
      <c r="E172" s="31" t="inlineStr">
        <is>
          <t>サトノクラウン</t>
        </is>
      </c>
      <c r="F172" s="31" t="inlineStr">
        <is>
          <t>牡</t>
        </is>
      </c>
      <c r="G172" s="31" t="n">
        <v>2</v>
      </c>
      <c r="H172" s="31" t="n">
        <v>18</v>
      </c>
      <c r="I172" s="31" t="n">
        <v>11</v>
      </c>
      <c r="J172" s="31" t="n">
        <v>4000</v>
      </c>
      <c r="K172" s="31" t="n">
        <v>432</v>
      </c>
      <c r="L172" s="31" t="n">
        <v>152</v>
      </c>
      <c r="M172" s="31" t="n">
        <v>169.5</v>
      </c>
      <c r="N172" s="31" t="n">
        <v>20.2</v>
      </c>
      <c r="O172" s="31" t="n">
        <v>400</v>
      </c>
      <c r="P172" s="31" t="inlineStr">
        <is>
          <t xml:space="preserve">清水久詞 </t>
        </is>
      </c>
      <c r="Q172" s="31" t="inlineStr">
        <is>
          <t>54戦0勝</t>
        </is>
      </c>
      <c r="R172" s="31" t="n">
        <v>0</v>
      </c>
      <c r="S172" s="31" t="n">
        <v>0</v>
      </c>
      <c r="T172" s="31" t="n">
        <v>110</v>
      </c>
      <c r="U172" s="31" t="n">
        <v>271</v>
      </c>
      <c r="V172" s="31" t="n">
        <v>0.1</v>
      </c>
      <c r="W172" s="31" t="n">
        <v>0</v>
      </c>
      <c r="X172" s="31" t="inlineStr">
        <is>
          <t>--&gt;</t>
        </is>
      </c>
      <c r="Y172" s="31" t="n">
        <v>2</v>
      </c>
      <c r="Z172" s="31" t="inlineStr">
        <is>
          <t>牡・420kg+</t>
        </is>
      </c>
    </row>
    <row r="173" ht="15" customHeight="1" s="19">
      <c r="A173" s="31" t="n">
        <v>2021</v>
      </c>
      <c r="B173" s="31" t="n">
        <v>75</v>
      </c>
      <c r="C173" s="31" t="inlineStr">
        <is>
          <t>クレオールの2020</t>
        </is>
      </c>
      <c r="D173" s="31" t="inlineStr">
        <is>
          <t>ノヴィアル (Novial)</t>
        </is>
      </c>
      <c r="E173" s="31" t="inlineStr">
        <is>
          <t>サトノクラウン</t>
        </is>
      </c>
      <c r="F173" s="31" t="inlineStr">
        <is>
          <t>メス</t>
        </is>
      </c>
      <c r="G173" s="31" t="n">
        <v>2</v>
      </c>
      <c r="H173" s="31" t="n">
        <v>8</v>
      </c>
      <c r="I173" s="31" t="n">
        <v>2</v>
      </c>
      <c r="J173" s="31" t="n">
        <v>1400</v>
      </c>
      <c r="K173" s="31" t="n">
        <v>423</v>
      </c>
      <c r="L173" s="31" t="n">
        <v>149</v>
      </c>
      <c r="M173" s="31" t="n">
        <v>170.5</v>
      </c>
      <c r="N173" s="31" t="n">
        <v>19.1</v>
      </c>
      <c r="O173" s="31" t="n">
        <v>400</v>
      </c>
      <c r="P173" s="31" t="inlineStr">
        <is>
          <t xml:space="preserve">渡辺薫彦 </t>
        </is>
      </c>
      <c r="Q173" s="31" t="inlineStr">
        <is>
          <t>29戦0勝</t>
        </is>
      </c>
      <c r="R173" s="31" t="n">
        <v>0</v>
      </c>
      <c r="S173" s="31" t="n">
        <v>0</v>
      </c>
      <c r="T173" s="31" t="n">
        <v>335</v>
      </c>
      <c r="U173" s="31" t="n">
        <v>43</v>
      </c>
      <c r="V173" s="31" t="n">
        <v>0.27</v>
      </c>
      <c r="W173" s="31" t="n">
        <v>0</v>
      </c>
      <c r="X173" s="31" t="inlineStr">
        <is>
          <t>--&gt;</t>
        </is>
      </c>
      <c r="Y173" s="31" t="n">
        <v>1</v>
      </c>
      <c r="Z173" s="31" t="inlineStr">
        <is>
          <t>420kg+</t>
        </is>
      </c>
    </row>
    <row r="174" ht="15" customHeight="1" s="19">
      <c r="A174" s="31" t="n">
        <v>2021</v>
      </c>
      <c r="B174" s="31" t="n">
        <v>77</v>
      </c>
      <c r="C174" s="31" t="inlineStr">
        <is>
          <t>ココシュニックの2020</t>
        </is>
      </c>
      <c r="D174" s="31" t="inlineStr">
        <is>
          <t>ハンベルジャイト (Hambergite)</t>
        </is>
      </c>
      <c r="E174" s="31" t="inlineStr">
        <is>
          <t>ジャスタウェイ</t>
        </is>
      </c>
      <c r="F174" s="31" t="inlineStr">
        <is>
          <t>メス</t>
        </is>
      </c>
      <c r="G174" s="31" t="n">
        <v>1</v>
      </c>
      <c r="H174" s="31" t="n">
        <v>15</v>
      </c>
      <c r="I174" s="31" t="n">
        <v>10</v>
      </c>
      <c r="J174" s="31" t="n">
        <v>2200</v>
      </c>
      <c r="K174" s="31" t="n">
        <v>489</v>
      </c>
      <c r="L174" s="31" t="n">
        <v>153.5</v>
      </c>
      <c r="M174" s="31" t="n">
        <v>176</v>
      </c>
      <c r="N174" s="31" t="n">
        <v>19.8</v>
      </c>
      <c r="O174" s="31" t="n">
        <v>400</v>
      </c>
      <c r="P174" s="31" t="inlineStr">
        <is>
          <t xml:space="preserve">大久保龍志 </t>
        </is>
      </c>
      <c r="Q174" s="31" t="inlineStr">
        <is>
          <t>24戦3勝</t>
        </is>
      </c>
      <c r="R174" s="31" t="n">
        <v>3</v>
      </c>
      <c r="S174" s="31" t="n">
        <v>0</v>
      </c>
      <c r="T174" s="31" t="n">
        <v>4219</v>
      </c>
      <c r="U174" s="31" t="n">
        <v>0</v>
      </c>
      <c r="V174" s="31" t="n">
        <v>1.92</v>
      </c>
      <c r="W174" s="31" t="n">
        <v>0</v>
      </c>
      <c r="X174" s="31" t="inlineStr">
        <is>
          <t>24'雲仙特別(2勝クラス)23'3歳1勝クラス--&gt;</t>
        </is>
      </c>
      <c r="Y174" s="31" t="n">
        <v>1</v>
      </c>
      <c r="Z174" s="31" t="inlineStr">
        <is>
          <t>420kg+</t>
        </is>
      </c>
    </row>
    <row r="175" ht="15" customHeight="1" s="19">
      <c r="A175" s="31" t="n">
        <v>2021</v>
      </c>
      <c r="B175" s="31" t="n">
        <v>80</v>
      </c>
      <c r="C175" s="31" t="inlineStr">
        <is>
          <t>シェルズレイの2020</t>
        </is>
      </c>
      <c r="D175" s="31" t="inlineStr">
        <is>
          <t>レイアネラ</t>
        </is>
      </c>
      <c r="E175" s="31" t="inlineStr">
        <is>
          <t>ダイワメジャー</t>
        </is>
      </c>
      <c r="F175" s="31" t="inlineStr">
        <is>
          <t>メス</t>
        </is>
      </c>
      <c r="G175" s="31" t="n">
        <v>2</v>
      </c>
      <c r="H175" s="31" t="n">
        <v>17</v>
      </c>
      <c r="I175" s="31" t="n">
        <v>12</v>
      </c>
      <c r="J175" s="31" t="n">
        <v>5000</v>
      </c>
      <c r="K175" s="31" t="n">
        <v>499</v>
      </c>
      <c r="L175" s="31" t="n">
        <v>154.5</v>
      </c>
      <c r="M175" s="31" t="n">
        <v>183</v>
      </c>
      <c r="N175" s="31" t="n">
        <v>20.5</v>
      </c>
      <c r="O175" s="31" t="n">
        <v>400</v>
      </c>
      <c r="P175" s="31" t="inlineStr">
        <is>
          <t xml:space="preserve">高野友和 </t>
        </is>
      </c>
      <c r="Q175" s="31" t="inlineStr">
        <is>
          <t>0戦0勝</t>
        </is>
      </c>
      <c r="R175" s="31" t="n">
        <v>0</v>
      </c>
      <c r="S175" s="31" t="n">
        <v>0</v>
      </c>
      <c r="T175" s="31" t="n">
        <v>0</v>
      </c>
      <c r="U175" s="31" t="n">
        <v>0</v>
      </c>
      <c r="V175" s="31" t="n">
        <v>0</v>
      </c>
      <c r="W175" s="31" t="n">
        <v>0</v>
      </c>
      <c r="X175" s="31" t="inlineStr">
        <is>
          <t>--&gt;</t>
        </is>
      </c>
      <c r="Y175" s="31" t="n">
        <v>1</v>
      </c>
      <c r="Z175" s="31" t="inlineStr">
        <is>
          <t>420kg+</t>
        </is>
      </c>
    </row>
    <row r="176" ht="15" customHeight="1" s="19">
      <c r="A176" s="31" t="n">
        <v>2021</v>
      </c>
      <c r="B176" s="31" t="n">
        <v>81</v>
      </c>
      <c r="C176" s="31" t="inlineStr">
        <is>
          <t>シャンドランジュの2020</t>
        </is>
      </c>
      <c r="D176" s="31" t="inlineStr">
        <is>
          <t>セラフィックコール (Seraphic Call)</t>
        </is>
      </c>
      <c r="E176" s="31" t="inlineStr">
        <is>
          <t>ヘニーヒューズ</t>
        </is>
      </c>
      <c r="F176" s="31" t="inlineStr">
        <is>
          <t>牡</t>
        </is>
      </c>
      <c r="G176" s="31" t="n">
        <v>2</v>
      </c>
      <c r="H176" s="31" t="n">
        <v>7</v>
      </c>
      <c r="I176" s="31" t="n">
        <v>2</v>
      </c>
      <c r="J176" s="31" t="n">
        <v>3000</v>
      </c>
      <c r="K176" s="31" t="n">
        <v>485</v>
      </c>
      <c r="L176" s="31" t="n">
        <v>158</v>
      </c>
      <c r="M176" s="31" t="n">
        <v>180</v>
      </c>
      <c r="N176" s="31" t="n">
        <v>20</v>
      </c>
      <c r="O176" s="31" t="n">
        <v>400</v>
      </c>
      <c r="P176" s="31" t="inlineStr">
        <is>
          <t xml:space="preserve">寺島良 </t>
        </is>
      </c>
      <c r="Q176" s="31" t="inlineStr">
        <is>
          <t>18戦7勝</t>
        </is>
      </c>
      <c r="R176" s="31" t="n">
        <v>5</v>
      </c>
      <c r="S176" s="31" t="n">
        <v>2</v>
      </c>
      <c r="T176" s="31" t="n">
        <v>9468</v>
      </c>
      <c r="U176" s="31" t="n">
        <v>12085</v>
      </c>
      <c r="V176" s="31" t="n">
        <v>7.18</v>
      </c>
      <c r="W176" s="31" t="n">
        <v>1</v>
      </c>
      <c r="X176" s="31" t="inlineStr">
        <is>
          <t>24'ダイオライト記念(G2)25'ダイオライト記念(G2)--&gt;</t>
        </is>
      </c>
      <c r="Y176" s="31" t="n">
        <v>3</v>
      </c>
      <c r="Z176" s="31" t="inlineStr">
        <is>
          <t>牡・価格帯・420kg+</t>
        </is>
      </c>
    </row>
    <row r="177" ht="15" customHeight="1" s="19">
      <c r="A177" s="31" t="n">
        <v>2021</v>
      </c>
      <c r="B177" s="31" t="n">
        <v>82</v>
      </c>
      <c r="C177" s="31" t="inlineStr">
        <is>
          <t>ホワイトミーティアの2020</t>
        </is>
      </c>
      <c r="D177" s="31" t="inlineStr">
        <is>
          <t>ウインターズテイル (Winter's Tale)</t>
        </is>
      </c>
      <c r="E177" s="31" t="inlineStr">
        <is>
          <t>リオンディーズ</t>
        </is>
      </c>
      <c r="F177" s="31" t="inlineStr">
        <is>
          <t>メス</t>
        </is>
      </c>
      <c r="G177" s="31" t="n">
        <v>1</v>
      </c>
      <c r="H177" s="31" t="n">
        <v>9</v>
      </c>
      <c r="I177" s="31" t="n">
        <v>5</v>
      </c>
      <c r="J177" s="31" t="n">
        <v>1800</v>
      </c>
      <c r="K177" s="31" t="n">
        <v>462</v>
      </c>
      <c r="L177" s="31" t="n">
        <v>154.5</v>
      </c>
      <c r="M177" s="31" t="n">
        <v>175</v>
      </c>
      <c r="N177" s="31" t="n">
        <v>20</v>
      </c>
      <c r="O177" s="31" t="n">
        <v>400</v>
      </c>
      <c r="P177" s="31" t="inlineStr">
        <is>
          <t xml:space="preserve">吉岡辰弥 </t>
        </is>
      </c>
      <c r="Q177" s="31" t="inlineStr">
        <is>
          <t>5戦0勝</t>
        </is>
      </c>
      <c r="R177" s="31" t="n">
        <v>0</v>
      </c>
      <c r="S177" s="31" t="n">
        <v>0</v>
      </c>
      <c r="T177" s="31" t="n">
        <v>70</v>
      </c>
      <c r="U177" s="31" t="n">
        <v>0</v>
      </c>
      <c r="V177" s="31" t="n">
        <v>0.04</v>
      </c>
      <c r="W177" s="31" t="n">
        <v>0</v>
      </c>
      <c r="X177" s="31" t="inlineStr">
        <is>
          <t>--&gt;</t>
        </is>
      </c>
      <c r="Y177" s="31" t="n">
        <v>1</v>
      </c>
      <c r="Z177" s="31" t="inlineStr">
        <is>
          <t>420kg+</t>
        </is>
      </c>
    </row>
    <row r="178" ht="15" customHeight="1" s="19">
      <c r="A178" s="31" t="n">
        <v>2021</v>
      </c>
      <c r="B178" s="31" t="n">
        <v>83</v>
      </c>
      <c r="C178" s="31" t="inlineStr">
        <is>
          <t>リリウムの2020</t>
        </is>
      </c>
      <c r="D178" s="31" t="inlineStr">
        <is>
          <t>メガラニカ (Magallanica)</t>
        </is>
      </c>
      <c r="E178" s="31" t="inlineStr">
        <is>
          <t>イスラボニータ</t>
        </is>
      </c>
      <c r="F178" s="31" t="inlineStr">
        <is>
          <t>牡</t>
        </is>
      </c>
      <c r="G178" s="31" t="n">
        <v>1</v>
      </c>
      <c r="H178" s="31" t="n">
        <v>15</v>
      </c>
      <c r="I178" s="31" t="n">
        <v>12</v>
      </c>
      <c r="J178" s="31" t="n">
        <v>2000</v>
      </c>
      <c r="K178" s="31" t="n">
        <v>586</v>
      </c>
      <c r="L178" s="31" t="n">
        <v>161</v>
      </c>
      <c r="M178" s="31" t="n">
        <v>183.5</v>
      </c>
      <c r="N178" s="31" t="n">
        <v>22.2</v>
      </c>
      <c r="O178" s="31" t="n">
        <v>400</v>
      </c>
      <c r="P178" s="31" t="inlineStr">
        <is>
          <t xml:space="preserve">平田修 </t>
        </is>
      </c>
      <c r="Q178" s="31" t="inlineStr">
        <is>
          <t>0戦0勝</t>
        </is>
      </c>
      <c r="R178" s="31" t="n">
        <v>0</v>
      </c>
      <c r="S178" s="31" t="n">
        <v>0</v>
      </c>
      <c r="T178" s="31" t="n">
        <v>0</v>
      </c>
      <c r="U178" s="31" t="n">
        <v>0</v>
      </c>
      <c r="V178" s="31" t="n">
        <v>0</v>
      </c>
      <c r="W178" s="31" t="n">
        <v>0</v>
      </c>
      <c r="X178" s="31" t="inlineStr">
        <is>
          <t>--&gt;</t>
        </is>
      </c>
      <c r="Y178" s="31" t="n">
        <v>2</v>
      </c>
      <c r="Z178" s="31" t="inlineStr">
        <is>
          <t>牡・420kg+</t>
        </is>
      </c>
    </row>
    <row r="179" ht="15" customHeight="1" s="19">
      <c r="A179" s="31" t="n">
        <v>2021</v>
      </c>
      <c r="B179" s="31" t="n">
        <v>84</v>
      </c>
      <c r="C179" s="31" t="inlineStr">
        <is>
          <t>グリューヴァインの2020</t>
        </is>
      </c>
      <c r="D179" s="31" t="inlineStr">
        <is>
          <t>シラーヴァイン (Schillerwein)</t>
        </is>
      </c>
      <c r="E179" s="31" t="inlineStr">
        <is>
          <t>キズナ</t>
        </is>
      </c>
      <c r="F179" s="31" t="inlineStr">
        <is>
          <t>メス</t>
        </is>
      </c>
      <c r="G179" s="31" t="n">
        <v>3</v>
      </c>
      <c r="H179" s="31" t="n">
        <v>8</v>
      </c>
      <c r="I179" s="31" t="n">
        <v>2</v>
      </c>
      <c r="J179" s="31" t="n">
        <v>2200</v>
      </c>
      <c r="K179" s="31" t="n">
        <v>370</v>
      </c>
      <c r="L179" s="31" t="n">
        <v>151</v>
      </c>
      <c r="M179" s="31" t="n">
        <v>168</v>
      </c>
      <c r="N179" s="31" t="n">
        <v>20</v>
      </c>
      <c r="O179" s="31" t="n">
        <v>400</v>
      </c>
      <c r="P179" s="31" t="inlineStr">
        <is>
          <t xml:space="preserve">橋田満 </t>
        </is>
      </c>
      <c r="Q179" s="31" t="inlineStr">
        <is>
          <t>5戦0勝</t>
        </is>
      </c>
      <c r="R179" s="31" t="n">
        <v>0</v>
      </c>
      <c r="S179" s="31" t="n">
        <v>0</v>
      </c>
      <c r="T179" s="31" t="n">
        <v>0</v>
      </c>
      <c r="U179" s="31" t="n">
        <v>0</v>
      </c>
      <c r="V179" s="31" t="n">
        <v>0</v>
      </c>
      <c r="W179" s="31" t="n">
        <v>0</v>
      </c>
      <c r="X179" s="31" t="inlineStr">
        <is>
          <t>--&gt;</t>
        </is>
      </c>
      <c r="Y179" s="31" t="n">
        <v>0</v>
      </c>
      <c r="Z179" s="31" t="inlineStr"/>
    </row>
    <row r="180" ht="15" customHeight="1" s="19">
      <c r="A180" s="31" t="n">
        <v>2021</v>
      </c>
      <c r="B180" s="31" t="n">
        <v>85</v>
      </c>
      <c r="C180" s="31" t="inlineStr">
        <is>
          <t>カニョットの2020</t>
        </is>
      </c>
      <c r="D180" s="31" t="inlineStr">
        <is>
          <t>パルメリータ (Palmerita)</t>
        </is>
      </c>
      <c r="E180" s="31" t="inlineStr">
        <is>
          <t>スクリーンヒーロー</t>
        </is>
      </c>
      <c r="F180" s="31" t="inlineStr">
        <is>
          <t>メス</t>
        </is>
      </c>
      <c r="G180" s="31" t="n">
        <v>3</v>
      </c>
      <c r="H180" s="31" t="n">
        <v>15</v>
      </c>
      <c r="I180" s="31" t="n">
        <v>8</v>
      </c>
      <c r="J180" s="31" t="n">
        <v>1800</v>
      </c>
      <c r="K180" s="31" t="n">
        <v>451</v>
      </c>
      <c r="L180" s="31" t="n">
        <v>154.5</v>
      </c>
      <c r="M180" s="31" t="n">
        <v>175.5</v>
      </c>
      <c r="N180" s="31" t="n">
        <v>18.6</v>
      </c>
      <c r="O180" s="31" t="n">
        <v>400</v>
      </c>
      <c r="P180" s="31" t="inlineStr">
        <is>
          <t xml:space="preserve">西園正都 </t>
        </is>
      </c>
      <c r="Q180" s="31" t="inlineStr">
        <is>
          <t>29戦1勝</t>
        </is>
      </c>
      <c r="R180" s="31" t="n">
        <v>1</v>
      </c>
      <c r="S180" s="31" t="n">
        <v>0</v>
      </c>
      <c r="T180" s="31" t="n">
        <v>1340</v>
      </c>
      <c r="U180" s="31" t="n">
        <v>117</v>
      </c>
      <c r="V180" s="31" t="n">
        <v>0.8100000000000001</v>
      </c>
      <c r="W180" s="31" t="n">
        <v>0</v>
      </c>
      <c r="X180" s="31" t="inlineStr">
        <is>
          <t>23'3歳未勝利--&gt;</t>
        </is>
      </c>
      <c r="Y180" s="31" t="n">
        <v>1</v>
      </c>
      <c r="Z180" s="31" t="inlineStr">
        <is>
          <t>420kg+</t>
        </is>
      </c>
    </row>
    <row r="181" ht="15" customHeight="1" s="19">
      <c r="A181" s="31" t="n">
        <v>2021</v>
      </c>
      <c r="B181" s="31" t="n">
        <v>88</v>
      </c>
      <c r="C181" s="31" t="inlineStr">
        <is>
          <t>キャヴァルドレの2020</t>
        </is>
      </c>
      <c r="D181" s="31" t="inlineStr">
        <is>
          <t>プロトポロス (Protoporos)</t>
        </is>
      </c>
      <c r="E181" s="31" t="inlineStr">
        <is>
          <t>War Front</t>
        </is>
      </c>
      <c r="F181" s="31" t="inlineStr">
        <is>
          <t>牡</t>
        </is>
      </c>
      <c r="G181" s="31" t="n">
        <v>3</v>
      </c>
      <c r="H181" s="31" t="n">
        <v>6</v>
      </c>
      <c r="I181" s="31" t="n">
        <v>1</v>
      </c>
      <c r="J181" s="31" t="n">
        <v>5000</v>
      </c>
      <c r="K181" s="31" t="n">
        <v>470</v>
      </c>
      <c r="L181" s="31" t="n">
        <v>157</v>
      </c>
      <c r="M181" s="31" t="n">
        <v>176</v>
      </c>
      <c r="N181" s="31" t="n">
        <v>20.6</v>
      </c>
      <c r="O181" s="31" t="n">
        <v>400</v>
      </c>
      <c r="P181" s="31" t="inlineStr">
        <is>
          <t xml:space="preserve">西村真幸 </t>
        </is>
      </c>
      <c r="Q181" s="31" t="inlineStr">
        <is>
          <t>16戦4勝</t>
        </is>
      </c>
      <c r="R181" s="31" t="n">
        <v>4</v>
      </c>
      <c r="S181" s="31" t="n">
        <v>0</v>
      </c>
      <c r="T181" s="31" t="n">
        <v>6329</v>
      </c>
      <c r="U181" s="31" t="n">
        <v>0</v>
      </c>
      <c r="V181" s="31" t="n">
        <v>1.27</v>
      </c>
      <c r="W181" s="31" t="n">
        <v>0</v>
      </c>
      <c r="X181" s="31" t="inlineStr">
        <is>
          <t>25'伊賀S(3勝クラス)25'洲本特別(2勝クラス)--&gt;</t>
        </is>
      </c>
      <c r="Y181" s="31" t="n">
        <v>2</v>
      </c>
      <c r="Z181" s="31" t="inlineStr">
        <is>
          <t>牡・420kg+</t>
        </is>
      </c>
    </row>
    <row r="182" ht="15" customHeight="1" s="19">
      <c r="A182" s="31" t="n">
        <v>2021</v>
      </c>
      <c r="B182" s="31" t="n">
        <v>89</v>
      </c>
      <c r="C182" s="31" t="inlineStr">
        <is>
          <t>ブリトマルティスの2020</t>
        </is>
      </c>
      <c r="D182" s="31" t="inlineStr">
        <is>
          <t>ラビュリントス (Labyrinthos)</t>
        </is>
      </c>
      <c r="E182" s="31" t="inlineStr">
        <is>
          <t>キンシャサノキセキ</t>
        </is>
      </c>
      <c r="F182" s="31" t="inlineStr">
        <is>
          <t>メス</t>
        </is>
      </c>
      <c r="G182" s="31" t="n">
        <v>4</v>
      </c>
      <c r="H182" s="31" t="n">
        <v>16</v>
      </c>
      <c r="I182" s="31" t="n">
        <v>8</v>
      </c>
      <c r="J182" s="31" t="n">
        <v>1400</v>
      </c>
      <c r="K182" s="31" t="n">
        <v>418</v>
      </c>
      <c r="L182" s="31" t="n">
        <v>150</v>
      </c>
      <c r="M182" s="31" t="n">
        <v>171.5</v>
      </c>
      <c r="N182" s="31" t="n">
        <v>19.6</v>
      </c>
      <c r="O182" s="31" t="n">
        <v>100</v>
      </c>
      <c r="P182" s="31" t="inlineStr">
        <is>
          <t>田中淳司</t>
        </is>
      </c>
      <c r="Q182" s="31" t="inlineStr">
        <is>
          <t>21戦4勝</t>
        </is>
      </c>
      <c r="R182" s="31" t="n">
        <v>0</v>
      </c>
      <c r="S182" s="31" t="n">
        <v>4</v>
      </c>
      <c r="T182" s="31" t="n">
        <v>0</v>
      </c>
      <c r="U182" s="31" t="n">
        <v>3524</v>
      </c>
      <c r="V182" s="31" t="n">
        <v>2.52</v>
      </c>
      <c r="W182" s="31" t="n">
        <v>0</v>
      </c>
      <c r="X182" s="31" t="inlineStr">
        <is>
          <t>ジュニアグランプリ(ホークビル賞オパールC--&gt;</t>
        </is>
      </c>
      <c r="Y182" s="31" t="n">
        <v>0</v>
      </c>
      <c r="Z182" s="31" t="inlineStr"/>
    </row>
    <row r="183" ht="15" customHeight="1" s="19">
      <c r="A183" s="31" t="n">
        <v>2021</v>
      </c>
      <c r="B183" s="31" t="n">
        <v>90</v>
      </c>
      <c r="C183" s="31" t="inlineStr">
        <is>
          <t>ライクザウインドの2020</t>
        </is>
      </c>
      <c r="D183" s="31" t="inlineStr">
        <is>
          <t>エオリエンヌ (Eolienne)</t>
        </is>
      </c>
      <c r="E183" s="31" t="inlineStr">
        <is>
          <t>トゥザワールド</t>
        </is>
      </c>
      <c r="F183" s="31" t="inlineStr">
        <is>
          <t>メス</t>
        </is>
      </c>
      <c r="G183" s="31" t="n">
        <v>4</v>
      </c>
      <c r="H183" s="31" t="n">
        <v>20</v>
      </c>
      <c r="I183" s="31" t="n">
        <v>14</v>
      </c>
      <c r="J183" s="31" t="n">
        <v>1400</v>
      </c>
      <c r="K183" s="31" t="n">
        <v>459</v>
      </c>
      <c r="L183" s="31" t="n">
        <v>155</v>
      </c>
      <c r="M183" s="31" t="n">
        <v>176.5</v>
      </c>
      <c r="N183" s="31" t="n">
        <v>19.9</v>
      </c>
      <c r="O183" s="31" t="n">
        <v>100</v>
      </c>
      <c r="P183" s="31" t="inlineStr">
        <is>
          <t>内田勝義</t>
        </is>
      </c>
      <c r="Q183" s="31" t="inlineStr">
        <is>
          <t>15戦3勝</t>
        </is>
      </c>
      <c r="R183" s="31" t="n">
        <v>0</v>
      </c>
      <c r="S183" s="31" t="n">
        <v>3</v>
      </c>
      <c r="T183" s="31" t="n">
        <v>0</v>
      </c>
      <c r="U183" s="31" t="n">
        <v>1422</v>
      </c>
      <c r="V183" s="31" t="n">
        <v>1.02</v>
      </c>
      <c r="W183" s="31" t="n">
        <v>0</v>
      </c>
      <c r="X183" s="31" t="inlineStr">
        <is>
          <t>天香桂花賞ルドベキア特別--&gt;</t>
        </is>
      </c>
      <c r="Y183" s="31" t="n">
        <v>1</v>
      </c>
      <c r="Z183" s="31" t="inlineStr">
        <is>
          <t>420kg+</t>
        </is>
      </c>
    </row>
    <row r="184" ht="15" customHeight="1" s="19">
      <c r="A184" s="31" t="n">
        <v>2021</v>
      </c>
      <c r="B184" s="31" t="n">
        <v>91</v>
      </c>
      <c r="C184" s="31" t="inlineStr">
        <is>
          <t>ネオフレグランスの2020</t>
        </is>
      </c>
      <c r="D184" s="31" t="inlineStr">
        <is>
          <t>マリンノート (Marine Note)</t>
        </is>
      </c>
      <c r="E184" s="31" t="inlineStr">
        <is>
          <t>ルーラーシップ</t>
        </is>
      </c>
      <c r="F184" s="31" t="inlineStr">
        <is>
          <t>メス</t>
        </is>
      </c>
      <c r="G184" s="31" t="n">
        <v>4</v>
      </c>
      <c r="H184" s="31" t="n">
        <v>6</v>
      </c>
      <c r="I184" s="31" t="n">
        <v>1</v>
      </c>
      <c r="J184" s="31" t="n">
        <v>1600</v>
      </c>
      <c r="K184" s="31" t="n">
        <v>378</v>
      </c>
      <c r="L184" s="31" t="n">
        <v>146.5</v>
      </c>
      <c r="M184" s="31" t="n">
        <v>165</v>
      </c>
      <c r="N184" s="31" t="n">
        <v>18.3</v>
      </c>
      <c r="O184" s="31" t="n">
        <v>100</v>
      </c>
      <c r="P184" s="31" t="inlineStr">
        <is>
          <t>藤ヶ崎一</t>
        </is>
      </c>
      <c r="Q184" s="31" t="inlineStr">
        <is>
          <t>7戦0勝</t>
        </is>
      </c>
      <c r="R184" s="31" t="n">
        <v>0</v>
      </c>
      <c r="S184" s="31" t="n">
        <v>0</v>
      </c>
      <c r="T184" s="31" t="n">
        <v>0</v>
      </c>
      <c r="U184" s="31" t="n">
        <v>67</v>
      </c>
      <c r="V184" s="31" t="n">
        <v>0.04</v>
      </c>
      <c r="W184" s="31" t="n">
        <v>0</v>
      </c>
      <c r="X184" s="31" t="inlineStr">
        <is>
          <t>--&gt;</t>
        </is>
      </c>
      <c r="Y184" s="31" t="n">
        <v>0</v>
      </c>
      <c r="Z184" s="31" t="inlineStr"/>
    </row>
    <row r="185" ht="15" customHeight="1" s="19">
      <c r="A185" s="31" t="n">
        <v>2022</v>
      </c>
      <c r="B185" s="31" t="n">
        <v>1</v>
      </c>
      <c r="C185" s="31" t="inlineStr">
        <is>
          <t>ミリッサの2021</t>
        </is>
      </c>
      <c r="D185" s="31" t="inlineStr">
        <is>
          <t>ハッピージャズ (Happy Jazz)</t>
        </is>
      </c>
      <c r="E185" s="31" t="inlineStr">
        <is>
          <t>ロードカナロア</t>
        </is>
      </c>
      <c r="F185" s="31" t="inlineStr">
        <is>
          <t>牡</t>
        </is>
      </c>
      <c r="G185" s="31" t="n">
        <v>3</v>
      </c>
      <c r="H185" s="31" t="n">
        <v>7</v>
      </c>
      <c r="I185" s="31" t="n">
        <v>1</v>
      </c>
      <c r="J185" s="31" t="n">
        <v>5000</v>
      </c>
      <c r="K185" s="31" t="n">
        <v>387</v>
      </c>
      <c r="L185" s="31" t="n">
        <v>143.5</v>
      </c>
      <c r="M185" s="31" t="n">
        <v>164.5</v>
      </c>
      <c r="N185" s="31" t="n">
        <v>19.9</v>
      </c>
      <c r="O185" s="31" t="n">
        <v>400</v>
      </c>
      <c r="P185" s="31" t="inlineStr">
        <is>
          <t>高橋文雅</t>
        </is>
      </c>
      <c r="Q185" s="31" t="inlineStr">
        <is>
          <t>2戦0勝</t>
        </is>
      </c>
      <c r="R185" s="31" t="n">
        <v>0</v>
      </c>
      <c r="S185" s="31" t="n">
        <v>0</v>
      </c>
      <c r="T185" s="31" t="n">
        <v>0</v>
      </c>
      <c r="U185" s="31" t="n">
        <v>0</v>
      </c>
      <c r="V185" s="31" t="n">
        <v>0</v>
      </c>
      <c r="W185" s="31" t="n">
        <v>0</v>
      </c>
      <c r="X185" s="31" t="inlineStr">
        <is>
          <t>--&gt;</t>
        </is>
      </c>
      <c r="Y185" s="31" t="n">
        <v>1</v>
      </c>
      <c r="Z185" s="31" t="inlineStr">
        <is>
          <t>牡</t>
        </is>
      </c>
    </row>
    <row r="186" ht="15" customHeight="1" s="19">
      <c r="A186" s="31" t="n">
        <v>2022</v>
      </c>
      <c r="B186" s="31" t="n">
        <v>2</v>
      </c>
      <c r="C186" s="31" t="inlineStr">
        <is>
          <t>ジョプリンの2021</t>
        </is>
      </c>
      <c r="D186" s="31" t="inlineStr">
        <is>
          <t>ジュビランス (Jubilance)</t>
        </is>
      </c>
      <c r="E186" s="31" t="inlineStr">
        <is>
          <t>ロードカナロア</t>
        </is>
      </c>
      <c r="F186" s="31" t="inlineStr">
        <is>
          <t>メス</t>
        </is>
      </c>
      <c r="G186" s="31" t="n">
        <v>1</v>
      </c>
      <c r="H186" s="31" t="n">
        <v>7</v>
      </c>
      <c r="I186" s="31" t="n">
        <v>1</v>
      </c>
      <c r="J186" s="31" t="n">
        <v>4000</v>
      </c>
      <c r="K186" s="31" t="n">
        <v>454</v>
      </c>
      <c r="L186" s="31" t="n">
        <v>151.5</v>
      </c>
      <c r="M186" s="31" t="n">
        <v>174</v>
      </c>
      <c r="N186" s="31" t="n">
        <v>19.5</v>
      </c>
      <c r="O186" s="31" t="n">
        <v>400</v>
      </c>
      <c r="P186" s="31" t="inlineStr">
        <is>
          <t>木村哲也</t>
        </is>
      </c>
      <c r="Q186" s="31" t="inlineStr">
        <is>
          <t>9戦1勝</t>
        </is>
      </c>
      <c r="R186" s="31" t="n">
        <v>0</v>
      </c>
      <c r="S186" s="31" t="n">
        <v>1</v>
      </c>
      <c r="T186" s="31" t="n">
        <v>300</v>
      </c>
      <c r="U186" s="31" t="n">
        <v>157</v>
      </c>
      <c r="V186" s="31" t="n">
        <v>0.11</v>
      </c>
      <c r="W186" s="31" t="n">
        <v>0</v>
      </c>
      <c r="X186" s="31" t="inlineStr">
        <is>
          <t>独楽回し賞--&gt;</t>
        </is>
      </c>
      <c r="Y186" s="31" t="n">
        <v>1</v>
      </c>
      <c r="Z186" s="31" t="inlineStr">
        <is>
          <t>420kg+</t>
        </is>
      </c>
    </row>
    <row r="187" ht="15" customHeight="1" s="19">
      <c r="A187" s="31" t="n">
        <v>2022</v>
      </c>
      <c r="B187" s="31" t="n">
        <v>3</v>
      </c>
      <c r="C187" s="31" t="inlineStr">
        <is>
          <t>ヒルダズパッションの2021</t>
        </is>
      </c>
      <c r="D187" s="31" t="inlineStr">
        <is>
          <t>アルドール (Ardor)</t>
        </is>
      </c>
      <c r="E187" s="31" t="inlineStr">
        <is>
          <t>ロードカナロア</t>
        </is>
      </c>
      <c r="F187" s="31" t="inlineStr">
        <is>
          <t>メス</t>
        </is>
      </c>
      <c r="G187" s="31" t="n">
        <v>2</v>
      </c>
      <c r="H187" s="31" t="n">
        <v>14</v>
      </c>
      <c r="I187" s="31" t="n">
        <v>9</v>
      </c>
      <c r="J187" s="31" t="n">
        <v>6000</v>
      </c>
      <c r="K187" s="31" t="n">
        <v>485</v>
      </c>
      <c r="L187" s="31" t="n">
        <v>161.5</v>
      </c>
      <c r="M187" s="31" t="n">
        <v>178</v>
      </c>
      <c r="N187" s="31" t="n">
        <v>21.3</v>
      </c>
      <c r="O187" s="31" t="n">
        <v>400</v>
      </c>
      <c r="P187" s="31" t="inlineStr">
        <is>
          <t>手塚貴久</t>
        </is>
      </c>
      <c r="Q187" s="31" t="inlineStr">
        <is>
          <t>8戦2勝</t>
        </is>
      </c>
      <c r="R187" s="31" t="n">
        <v>2</v>
      </c>
      <c r="S187" s="31" t="n">
        <v>0</v>
      </c>
      <c r="T187" s="31" t="n">
        <v>1640</v>
      </c>
      <c r="U187" s="31" t="n">
        <v>0</v>
      </c>
      <c r="V187" s="31" t="n">
        <v>0.27</v>
      </c>
      <c r="W187" s="31" t="n">
        <v>0</v>
      </c>
      <c r="X187" s="31" t="inlineStr">
        <is>
          <t>25'4歳以上1勝クラス24'3歳未勝利--&gt;</t>
        </is>
      </c>
      <c r="Y187" s="31" t="n">
        <v>1</v>
      </c>
      <c r="Z187" s="31" t="inlineStr">
        <is>
          <t>420kg+</t>
        </is>
      </c>
    </row>
    <row r="188" ht="15" customHeight="1" s="19">
      <c r="A188" s="31" t="n">
        <v>2022</v>
      </c>
      <c r="B188" s="31" t="n">
        <v>4</v>
      </c>
      <c r="C188" s="31" t="inlineStr">
        <is>
          <t>グリューネワルトの2021</t>
        </is>
      </c>
      <c r="D188" s="31" t="inlineStr">
        <is>
          <t>オーデンヴァルト (Odenwald)</t>
        </is>
      </c>
      <c r="E188" s="31" t="inlineStr">
        <is>
          <t>ロードカナロア</t>
        </is>
      </c>
      <c r="F188" s="31" t="inlineStr">
        <is>
          <t>メス</t>
        </is>
      </c>
      <c r="G188" s="31" t="n">
        <v>3</v>
      </c>
      <c r="H188" s="31" t="n">
        <v>14</v>
      </c>
      <c r="I188" s="31" t="n">
        <v>8</v>
      </c>
      <c r="J188" s="31" t="n">
        <v>5000</v>
      </c>
      <c r="K188" s="31" t="n">
        <v>454</v>
      </c>
      <c r="L188" s="31" t="n">
        <v>154</v>
      </c>
      <c r="M188" s="31" t="n">
        <v>174</v>
      </c>
      <c r="N188" s="31" t="n">
        <v>19</v>
      </c>
      <c r="O188" s="31" t="n">
        <v>400</v>
      </c>
      <c r="P188" s="31" t="inlineStr">
        <is>
          <t>林徹</t>
        </is>
      </c>
      <c r="Q188" s="31" t="inlineStr">
        <is>
          <t>2戦0勝</t>
        </is>
      </c>
      <c r="R188" s="31" t="n">
        <v>0</v>
      </c>
      <c r="S188" s="31" t="n">
        <v>0</v>
      </c>
      <c r="T188" s="31" t="n">
        <v>0</v>
      </c>
      <c r="U188" s="31" t="n">
        <v>0</v>
      </c>
      <c r="V188" s="31" t="n">
        <v>0</v>
      </c>
      <c r="W188" s="31" t="n">
        <v>0</v>
      </c>
      <c r="X188" s="31" t="inlineStr">
        <is>
          <t>--&gt;</t>
        </is>
      </c>
      <c r="Y188" s="31" t="n">
        <v>1</v>
      </c>
      <c r="Z188" s="31" t="inlineStr">
        <is>
          <t>420kg+</t>
        </is>
      </c>
    </row>
    <row r="189" ht="15" customHeight="1" s="19">
      <c r="A189" s="31" t="n">
        <v>2022</v>
      </c>
      <c r="B189" s="31" t="n">
        <v>5</v>
      </c>
      <c r="C189" s="31" t="inlineStr">
        <is>
          <t>インクルードベティの2021</t>
        </is>
      </c>
      <c r="D189" s="31" t="inlineStr">
        <is>
          <t>インクルージョン (Inclusion)</t>
        </is>
      </c>
      <c r="E189" s="31" t="inlineStr">
        <is>
          <t>ハーツクライ</t>
        </is>
      </c>
      <c r="F189" s="31" t="inlineStr">
        <is>
          <t>牡</t>
        </is>
      </c>
      <c r="G189" s="31" t="n">
        <v>1</v>
      </c>
      <c r="H189" s="31" t="n">
        <v>9</v>
      </c>
      <c r="I189" s="31" t="n">
        <v>4</v>
      </c>
      <c r="J189" s="31" t="n">
        <v>7000</v>
      </c>
      <c r="K189" s="31" t="n">
        <v>482</v>
      </c>
      <c r="L189" s="31" t="n">
        <v>152.5</v>
      </c>
      <c r="M189" s="31" t="n">
        <v>175.5</v>
      </c>
      <c r="N189" s="31" t="n">
        <v>20.8</v>
      </c>
      <c r="O189" s="31" t="n">
        <v>400</v>
      </c>
      <c r="P189" s="31" t="inlineStr">
        <is>
          <t>堀宣行</t>
        </is>
      </c>
      <c r="Q189" s="31" t="inlineStr">
        <is>
          <t>3戦0勝</t>
        </is>
      </c>
      <c r="R189" s="31" t="n">
        <v>0</v>
      </c>
      <c r="S189" s="31" t="n">
        <v>0</v>
      </c>
      <c r="T189" s="31" t="n">
        <v>290</v>
      </c>
      <c r="U189" s="31" t="n">
        <v>0</v>
      </c>
      <c r="V189" s="31" t="n">
        <v>0.04</v>
      </c>
      <c r="W189" s="31" t="n">
        <v>0</v>
      </c>
      <c r="X189" s="31" t="inlineStr">
        <is>
          <t>--&gt;</t>
        </is>
      </c>
      <c r="Y189" s="31" t="n">
        <v>2</v>
      </c>
      <c r="Z189" s="31" t="inlineStr">
        <is>
          <t>牡・420kg+</t>
        </is>
      </c>
    </row>
    <row r="190" ht="15" customHeight="1" s="19">
      <c r="A190" s="31" t="n">
        <v>2022</v>
      </c>
      <c r="B190" s="31" t="n">
        <v>6</v>
      </c>
      <c r="C190" s="31" t="inlineStr">
        <is>
          <t>サンブルエミューズの2021</t>
        </is>
      </c>
      <c r="D190" s="31" t="inlineStr">
        <is>
          <t>アルセナール (Arsenaal)</t>
        </is>
      </c>
      <c r="E190" s="31" t="inlineStr">
        <is>
          <t>エピファネイア</t>
        </is>
      </c>
      <c r="F190" s="31" t="inlineStr">
        <is>
          <t>メス</t>
        </is>
      </c>
      <c r="G190" s="31" t="n">
        <v>3</v>
      </c>
      <c r="H190" s="31" t="n">
        <v>11</v>
      </c>
      <c r="I190" s="31" t="n">
        <v>5</v>
      </c>
      <c r="J190" s="31" t="n">
        <v>7000</v>
      </c>
      <c r="K190" s="31" t="n">
        <v>450</v>
      </c>
      <c r="L190" s="31" t="n">
        <v>152.5</v>
      </c>
      <c r="M190" s="31" t="n">
        <v>173.5</v>
      </c>
      <c r="N190" s="31" t="n">
        <v>20.1</v>
      </c>
      <c r="O190" s="31" t="n">
        <v>400</v>
      </c>
      <c r="P190" s="31" t="inlineStr">
        <is>
          <t>木村哲也</t>
        </is>
      </c>
      <c r="Q190" s="31" t="inlineStr">
        <is>
          <t>11戦2勝</t>
        </is>
      </c>
      <c r="R190" s="31" t="n">
        <v>2</v>
      </c>
      <c r="S190" s="31" t="n">
        <v>0</v>
      </c>
      <c r="T190" s="31" t="n">
        <v>5033</v>
      </c>
      <c r="U190" s="31" t="n">
        <v>0</v>
      </c>
      <c r="V190" s="31" t="n">
        <v>0.72</v>
      </c>
      <c r="W190" s="31" t="n">
        <v>0</v>
      </c>
      <c r="X190" s="31" t="inlineStr">
        <is>
          <t>25'分倍河原S(3勝クラス)23'2歳新馬--&gt;</t>
        </is>
      </c>
      <c r="Y190" s="31" t="n">
        <v>1</v>
      </c>
      <c r="Z190" s="31" t="inlineStr">
        <is>
          <t>420kg+</t>
        </is>
      </c>
    </row>
    <row r="191" ht="15" customHeight="1" s="19">
      <c r="A191" s="31" t="n">
        <v>2022</v>
      </c>
      <c r="B191" s="31" t="n">
        <v>7</v>
      </c>
      <c r="C191" s="31" t="inlineStr">
        <is>
          <t>シャルールの2021</t>
        </is>
      </c>
      <c r="D191" s="31" t="inlineStr">
        <is>
          <t>カニキュル (Canicule)</t>
        </is>
      </c>
      <c r="E191" s="31" t="inlineStr">
        <is>
          <t>エピファネイア</t>
        </is>
      </c>
      <c r="F191" s="31" t="inlineStr">
        <is>
          <t>メス</t>
        </is>
      </c>
      <c r="G191" s="31" t="n">
        <v>5</v>
      </c>
      <c r="H191" s="31" t="n">
        <v>9</v>
      </c>
      <c r="I191" s="31" t="n">
        <v>3</v>
      </c>
      <c r="J191" s="31" t="n">
        <v>4000</v>
      </c>
      <c r="K191" s="31" t="n">
        <v>440</v>
      </c>
      <c r="L191" s="31" t="n">
        <v>154.5</v>
      </c>
      <c r="M191" s="31" t="n">
        <v>173</v>
      </c>
      <c r="N191" s="31" t="n">
        <v>19.4</v>
      </c>
      <c r="O191" s="31" t="n">
        <v>400</v>
      </c>
      <c r="P191" s="31" t="inlineStr">
        <is>
          <t>菊沢隆徳</t>
        </is>
      </c>
      <c r="Q191" s="31" t="inlineStr">
        <is>
          <t>14戦3勝</t>
        </is>
      </c>
      <c r="R191" s="31" t="n">
        <v>3</v>
      </c>
      <c r="S191" s="31" t="n">
        <v>0</v>
      </c>
      <c r="T191" s="31" t="n">
        <v>7311</v>
      </c>
      <c r="U191" s="31" t="n">
        <v>0</v>
      </c>
      <c r="V191" s="31" t="n">
        <v>1.83</v>
      </c>
      <c r="W191" s="31" t="n">
        <v>0</v>
      </c>
      <c r="X191" s="31" t="inlineStr">
        <is>
          <t>25'4歳以上2勝クラス24'三浦特別(1勝クラス)--&gt;</t>
        </is>
      </c>
      <c r="Y191" s="31" t="n">
        <v>1</v>
      </c>
      <c r="Z191" s="31" t="inlineStr">
        <is>
          <t>420kg+</t>
        </is>
      </c>
    </row>
    <row r="192" ht="15" customHeight="1" s="19">
      <c r="A192" s="31" t="n">
        <v>2022</v>
      </c>
      <c r="B192" s="31" t="n">
        <v>8</v>
      </c>
      <c r="C192" s="31" t="inlineStr">
        <is>
          <t>フィンレイズラッキーチャームの2021</t>
        </is>
      </c>
      <c r="D192" s="31" t="inlineStr">
        <is>
          <t>シックスペンス (Sixpence)</t>
        </is>
      </c>
      <c r="E192" s="31" t="inlineStr">
        <is>
          <t>キズナ</t>
        </is>
      </c>
      <c r="F192" s="31" t="inlineStr">
        <is>
          <t>牡</t>
        </is>
      </c>
      <c r="G192" s="31" t="n">
        <v>4</v>
      </c>
      <c r="H192" s="31" t="n">
        <v>8</v>
      </c>
      <c r="I192" s="31" t="n">
        <v>2</v>
      </c>
      <c r="J192" s="31" t="n">
        <v>5000</v>
      </c>
      <c r="K192" s="31" t="n">
        <v>429</v>
      </c>
      <c r="L192" s="31" t="n">
        <v>151</v>
      </c>
      <c r="M192" s="31" t="n">
        <v>173</v>
      </c>
      <c r="N192" s="31" t="n">
        <v>20.8</v>
      </c>
      <c r="O192" s="31" t="n">
        <v>400</v>
      </c>
      <c r="P192" s="31" t="inlineStr">
        <is>
          <t>国枝栄</t>
        </is>
      </c>
      <c r="Q192" s="31" t="inlineStr">
        <is>
          <t>14戦6勝</t>
        </is>
      </c>
      <c r="R192" s="31" t="n">
        <v>6</v>
      </c>
      <c r="S192" s="31" t="n">
        <v>0</v>
      </c>
      <c r="T192" s="31" t="n">
        <v>39269</v>
      </c>
      <c r="U192" s="31" t="n">
        <v>2800</v>
      </c>
      <c r="V192" s="31" t="n">
        <v>8.41</v>
      </c>
      <c r="W192" s="31" t="n">
        <v>1</v>
      </c>
      <c r="X192" s="31" t="inlineStr">
        <is>
          <t>26'安田記念(G1)24'毎日王冠(G2)--&gt;</t>
        </is>
      </c>
      <c r="Y192" s="31" t="n">
        <v>2</v>
      </c>
      <c r="Z192" s="31" t="inlineStr">
        <is>
          <t>牡・420kg+</t>
        </is>
      </c>
    </row>
    <row r="193" ht="15" customHeight="1" s="19">
      <c r="A193" s="31" t="n">
        <v>2022</v>
      </c>
      <c r="B193" s="31" t="n">
        <v>9</v>
      </c>
      <c r="C193" s="31" t="inlineStr">
        <is>
          <t>ザズーの2021</t>
        </is>
      </c>
      <c r="D193" s="31" t="inlineStr">
        <is>
          <t>セルース (Selous)</t>
        </is>
      </c>
      <c r="E193" s="31" t="inlineStr">
        <is>
          <t>キズナ</t>
        </is>
      </c>
      <c r="F193" s="31" t="inlineStr">
        <is>
          <t>メス</t>
        </is>
      </c>
      <c r="G193" s="31" t="n">
        <v>2</v>
      </c>
      <c r="H193" s="31" t="n">
        <v>13</v>
      </c>
      <c r="I193" s="31" t="n">
        <v>8</v>
      </c>
      <c r="J193" s="31" t="n">
        <v>3600</v>
      </c>
      <c r="K193" s="31" t="n">
        <v>410</v>
      </c>
      <c r="L193" s="31" t="n">
        <v>156</v>
      </c>
      <c r="M193" s="31" t="n">
        <v>175</v>
      </c>
      <c r="N193" s="31" t="n">
        <v>19.2</v>
      </c>
      <c r="O193" s="31" t="n">
        <v>400</v>
      </c>
      <c r="P193" s="31" t="inlineStr">
        <is>
          <t>池上昌和</t>
        </is>
      </c>
      <c r="Q193" s="31" t="inlineStr">
        <is>
          <t>5戦0勝</t>
        </is>
      </c>
      <c r="R193" s="31" t="n">
        <v>0</v>
      </c>
      <c r="S193" s="31" t="n">
        <v>0</v>
      </c>
      <c r="T193" s="31" t="n">
        <v>303</v>
      </c>
      <c r="U193" s="31" t="n">
        <v>0</v>
      </c>
      <c r="V193" s="31" t="n">
        <v>0.08</v>
      </c>
      <c r="W193" s="31" t="n">
        <v>0</v>
      </c>
      <c r="X193" s="31" t="inlineStr">
        <is>
          <t>--&gt;</t>
        </is>
      </c>
      <c r="Y193" s="31" t="n">
        <v>1</v>
      </c>
      <c r="Z193" s="31" t="inlineStr">
        <is>
          <t>価格帯</t>
        </is>
      </c>
    </row>
    <row r="194" ht="15" customHeight="1" s="19">
      <c r="A194" s="31" t="n">
        <v>2022</v>
      </c>
      <c r="B194" s="31" t="n">
        <v>10</v>
      </c>
      <c r="C194" s="31" t="inlineStr">
        <is>
          <t>ロスヴァイセの2021</t>
        </is>
      </c>
      <c r="D194" s="31" t="inlineStr">
        <is>
          <t>ジークルーネ (Siegrune)</t>
        </is>
      </c>
      <c r="E194" s="31" t="inlineStr">
        <is>
          <t>キズナ</t>
        </is>
      </c>
      <c r="F194" s="31" t="inlineStr">
        <is>
          <t>メス</t>
        </is>
      </c>
      <c r="G194" s="31" t="n">
        <v>3</v>
      </c>
      <c r="H194" s="31" t="n">
        <v>10</v>
      </c>
      <c r="I194" s="31" t="n">
        <v>4</v>
      </c>
      <c r="J194" s="31" t="n">
        <v>3200</v>
      </c>
      <c r="K194" s="31" t="n">
        <v>421</v>
      </c>
      <c r="L194" s="31" t="n">
        <v>150</v>
      </c>
      <c r="M194" s="31" t="n">
        <v>173</v>
      </c>
      <c r="N194" s="31" t="n">
        <v>19.9</v>
      </c>
      <c r="O194" s="31" t="n">
        <v>400</v>
      </c>
      <c r="P194" s="31" t="inlineStr">
        <is>
          <t>栗田徹</t>
        </is>
      </c>
      <c r="Q194" s="31" t="inlineStr">
        <is>
          <t>8戦1勝</t>
        </is>
      </c>
      <c r="R194" s="31" t="n">
        <v>1</v>
      </c>
      <c r="S194" s="31" t="n">
        <v>0</v>
      </c>
      <c r="T194" s="31" t="n">
        <v>720</v>
      </c>
      <c r="U194" s="31" t="n">
        <v>0</v>
      </c>
      <c r="V194" s="31" t="n">
        <v>0.23</v>
      </c>
      <c r="W194" s="31" t="n">
        <v>0</v>
      </c>
      <c r="X194" s="31" t="inlineStr">
        <is>
          <t>23'2歳新馬--&gt;</t>
        </is>
      </c>
      <c r="Y194" s="31" t="n">
        <v>2</v>
      </c>
      <c r="Z194" s="31" t="inlineStr">
        <is>
          <t>価格帯・420kg+</t>
        </is>
      </c>
    </row>
    <row r="195" ht="15" customHeight="1" s="19">
      <c r="A195" s="31" t="n">
        <v>2022</v>
      </c>
      <c r="B195" s="31" t="n">
        <v>11</v>
      </c>
      <c r="C195" s="31" t="inlineStr">
        <is>
          <t>アールブリュットの2021</t>
        </is>
      </c>
      <c r="D195" s="31" t="inlineStr">
        <is>
          <t>アンフォルメル (Informel)</t>
        </is>
      </c>
      <c r="E195" s="31" t="inlineStr">
        <is>
          <t>ドゥラメンテ</t>
        </is>
      </c>
      <c r="F195" s="31" t="inlineStr">
        <is>
          <t>牡</t>
        </is>
      </c>
      <c r="G195" s="31" t="n">
        <v>2</v>
      </c>
      <c r="H195" s="31" t="n">
        <v>9</v>
      </c>
      <c r="I195" s="31" t="n">
        <v>3</v>
      </c>
      <c r="J195" s="31" t="n">
        <v>6000</v>
      </c>
      <c r="K195" s="31" t="n">
        <v>466</v>
      </c>
      <c r="L195" s="31" t="n">
        <v>159.5</v>
      </c>
      <c r="M195" s="31" t="n">
        <v>180</v>
      </c>
      <c r="N195" s="31" t="n">
        <v>20.2</v>
      </c>
      <c r="O195" s="31" t="n">
        <v>400</v>
      </c>
      <c r="P195" s="31" t="inlineStr">
        <is>
          <t>国枝栄</t>
        </is>
      </c>
      <c r="Q195" s="31" t="inlineStr">
        <is>
          <t>1戦0勝</t>
        </is>
      </c>
      <c r="R195" s="31" t="n">
        <v>0</v>
      </c>
      <c r="S195" s="31" t="n">
        <v>0</v>
      </c>
      <c r="T195" s="31" t="n">
        <v>0</v>
      </c>
      <c r="U195" s="31" t="n">
        <v>0</v>
      </c>
      <c r="V195" s="31" t="n">
        <v>0</v>
      </c>
      <c r="W195" s="31" t="n">
        <v>0</v>
      </c>
      <c r="X195" s="31" t="inlineStr">
        <is>
          <t>--&gt;</t>
        </is>
      </c>
      <c r="Y195" s="31" t="n">
        <v>2</v>
      </c>
      <c r="Z195" s="31" t="inlineStr">
        <is>
          <t>牡・420kg+</t>
        </is>
      </c>
    </row>
    <row r="196" ht="15" customHeight="1" s="19">
      <c r="A196" s="31" t="n">
        <v>2022</v>
      </c>
      <c r="B196" s="31" t="n">
        <v>12</v>
      </c>
      <c r="C196" s="31" t="inlineStr">
        <is>
          <t>フロアクラフトの2021</t>
        </is>
      </c>
      <c r="D196" s="31" t="inlineStr">
        <is>
          <t>クランプダンス (Krump Dance)</t>
        </is>
      </c>
      <c r="E196" s="31" t="inlineStr">
        <is>
          <t>ドゥラメンテ</t>
        </is>
      </c>
      <c r="F196" s="31" t="inlineStr">
        <is>
          <t>メス</t>
        </is>
      </c>
      <c r="G196" s="31" t="n">
        <v>4</v>
      </c>
      <c r="H196" s="31" t="n">
        <v>11</v>
      </c>
      <c r="I196" s="31" t="n">
        <v>5</v>
      </c>
      <c r="J196" s="31" t="n">
        <v>4000</v>
      </c>
      <c r="K196" s="31" t="n">
        <v>435</v>
      </c>
      <c r="L196" s="31" t="n">
        <v>153</v>
      </c>
      <c r="M196" s="31" t="n">
        <v>173.5</v>
      </c>
      <c r="N196" s="31" t="n">
        <v>20.1</v>
      </c>
      <c r="O196" s="31" t="n">
        <v>400</v>
      </c>
      <c r="P196" s="31" t="inlineStr">
        <is>
          <t>宮田敬介</t>
        </is>
      </c>
      <c r="Q196" s="31" t="inlineStr">
        <is>
          <t>3戦0勝</t>
        </is>
      </c>
      <c r="R196" s="31" t="n">
        <v>0</v>
      </c>
      <c r="S196" s="31" t="n">
        <v>0</v>
      </c>
      <c r="T196" s="31" t="n">
        <v>155</v>
      </c>
      <c r="U196" s="31" t="n">
        <v>0</v>
      </c>
      <c r="V196" s="31" t="n">
        <v>0.04</v>
      </c>
      <c r="W196" s="31" t="n">
        <v>0</v>
      </c>
      <c r="X196" s="31" t="inlineStr">
        <is>
          <t>--&gt;</t>
        </is>
      </c>
      <c r="Y196" s="31" t="n">
        <v>1</v>
      </c>
      <c r="Z196" s="31" t="inlineStr">
        <is>
          <t>420kg+</t>
        </is>
      </c>
    </row>
    <row r="197" ht="15" customHeight="1" s="19">
      <c r="A197" s="31" t="n">
        <v>2022</v>
      </c>
      <c r="B197" s="31" t="n">
        <v>13</v>
      </c>
      <c r="C197" s="31" t="inlineStr">
        <is>
          <t>マイハッピーフェイスの2021</t>
        </is>
      </c>
      <c r="D197" s="31" t="inlineStr">
        <is>
          <t>ルミナスティ (Luminosity)</t>
        </is>
      </c>
      <c r="E197" s="31" t="inlineStr">
        <is>
          <t>ドゥラメンテ</t>
        </is>
      </c>
      <c r="F197" s="31" t="inlineStr">
        <is>
          <t>メス</t>
        </is>
      </c>
      <c r="G197" s="31" t="n">
        <v>4</v>
      </c>
      <c r="H197" s="31" t="n">
        <v>11</v>
      </c>
      <c r="I197" s="31" t="n">
        <v>6</v>
      </c>
      <c r="J197" s="31" t="n">
        <v>2400</v>
      </c>
      <c r="K197" s="31" t="n">
        <v>440</v>
      </c>
      <c r="L197" s="31" t="n">
        <v>158</v>
      </c>
      <c r="M197" s="31" t="n">
        <v>173.5</v>
      </c>
      <c r="N197" s="31" t="n">
        <v>20.5</v>
      </c>
      <c r="O197" s="31" t="n">
        <v>400</v>
      </c>
      <c r="P197" s="31" t="inlineStr">
        <is>
          <t>加藤征弘</t>
        </is>
      </c>
      <c r="Q197" s="31" t="inlineStr">
        <is>
          <t>0戦0勝</t>
        </is>
      </c>
      <c r="R197" s="31" t="n">
        <v>0</v>
      </c>
      <c r="S197" s="31" t="n">
        <v>0</v>
      </c>
      <c r="T197" s="31" t="n">
        <v>0</v>
      </c>
      <c r="U197" s="31" t="n">
        <v>0</v>
      </c>
      <c r="V197" s="31" t="n">
        <v>0</v>
      </c>
      <c r="W197" s="31" t="n">
        <v>0</v>
      </c>
      <c r="X197" s="31" t="inlineStr">
        <is>
          <t>--&gt;</t>
        </is>
      </c>
      <c r="Y197" s="31" t="n">
        <v>1</v>
      </c>
      <c r="Z197" s="31" t="inlineStr">
        <is>
          <t>420kg+</t>
        </is>
      </c>
    </row>
    <row r="198" ht="15" customHeight="1" s="19">
      <c r="A198" s="31" t="n">
        <v>2022</v>
      </c>
      <c r="B198" s="31" t="n">
        <v>14</v>
      </c>
      <c r="C198" s="31" t="inlineStr">
        <is>
          <t>ブルーメンブラットの2021</t>
        </is>
      </c>
      <c r="D198" s="31" t="inlineStr">
        <is>
          <t>シュトラウス (Strauss)</t>
        </is>
      </c>
      <c r="E198" s="31" t="inlineStr">
        <is>
          <t>モーリス</t>
        </is>
      </c>
      <c r="F198" s="31" t="inlineStr">
        <is>
          <t>牡</t>
        </is>
      </c>
      <c r="G198" s="31" t="n">
        <v>1</v>
      </c>
      <c r="H198" s="31" t="n">
        <v>18</v>
      </c>
      <c r="I198" s="31" t="n">
        <v>12</v>
      </c>
      <c r="J198" s="31" t="n">
        <v>5000</v>
      </c>
      <c r="K198" s="31" t="n">
        <v>522</v>
      </c>
      <c r="L198" s="31" t="n">
        <v>160</v>
      </c>
      <c r="M198" s="31" t="n">
        <v>181.5</v>
      </c>
      <c r="N198" s="31" t="n">
        <v>21.5</v>
      </c>
      <c r="O198" s="31" t="n">
        <v>400</v>
      </c>
      <c r="P198" s="31" t="inlineStr">
        <is>
          <t>武井亮</t>
        </is>
      </c>
      <c r="Q198" s="31" t="inlineStr">
        <is>
          <t>15戦4勝</t>
        </is>
      </c>
      <c r="R198" s="31" t="n">
        <v>3</v>
      </c>
      <c r="S198" s="31" t="n">
        <v>1</v>
      </c>
      <c r="T198" s="31" t="n">
        <v>10337</v>
      </c>
      <c r="U198" s="31" t="n">
        <v>0</v>
      </c>
      <c r="V198" s="31" t="n">
        <v>2.07</v>
      </c>
      <c r="W198" s="31" t="n">
        <v>1</v>
      </c>
      <c r="X198" s="31" t="inlineStr">
        <is>
          <t>23'東京スポーツ杯2歳S(G2)25'白富士S(L)--&gt;</t>
        </is>
      </c>
      <c r="Y198" s="31" t="n">
        <v>2</v>
      </c>
      <c r="Z198" s="31" t="inlineStr">
        <is>
          <t>牡・420kg+</t>
        </is>
      </c>
    </row>
    <row r="199" ht="15" customHeight="1" s="19">
      <c r="A199" s="31" t="n">
        <v>2022</v>
      </c>
      <c r="B199" s="31" t="n">
        <v>15</v>
      </c>
      <c r="C199" s="31" t="inlineStr">
        <is>
          <t>リカビトスの2021</t>
        </is>
      </c>
      <c r="D199" s="31" t="inlineStr">
        <is>
          <t>リュケイオン (Lykeion)</t>
        </is>
      </c>
      <c r="E199" s="31" t="inlineStr">
        <is>
          <t>モーリス</t>
        </is>
      </c>
      <c r="F199" s="31" t="inlineStr">
        <is>
          <t>牡</t>
        </is>
      </c>
      <c r="G199" s="31" t="n">
        <v>2</v>
      </c>
      <c r="H199" s="31" t="n">
        <v>7</v>
      </c>
      <c r="I199" s="31" t="n">
        <v>1</v>
      </c>
      <c r="J199" s="31" t="n">
        <v>3200</v>
      </c>
      <c r="K199" s="31" t="n">
        <v>418</v>
      </c>
      <c r="L199" s="31" t="n">
        <v>150.5</v>
      </c>
      <c r="M199" s="31" t="n">
        <v>176</v>
      </c>
      <c r="N199" s="31" t="n">
        <v>20</v>
      </c>
      <c r="O199" s="31" t="n">
        <v>400</v>
      </c>
      <c r="P199" s="31" t="inlineStr">
        <is>
          <t>奥村武</t>
        </is>
      </c>
      <c r="Q199" s="31" t="inlineStr">
        <is>
          <t>15戦3勝</t>
        </is>
      </c>
      <c r="R199" s="31" t="n">
        <v>0</v>
      </c>
      <c r="S199" s="31" t="n">
        <v>3</v>
      </c>
      <c r="T199" s="31" t="n">
        <v>858</v>
      </c>
      <c r="U199" s="31" t="n">
        <v>296</v>
      </c>
      <c r="V199" s="31" t="n">
        <v>0.36</v>
      </c>
      <c r="W199" s="31" t="n">
        <v>0</v>
      </c>
      <c r="X199" s="31" t="inlineStr">
        <is>
          <t>B1B1三組B2一組混合--&gt;</t>
        </is>
      </c>
      <c r="Y199" s="31" t="n">
        <v>2</v>
      </c>
      <c r="Z199" s="31" t="inlineStr">
        <is>
          <t>牡・価格帯</t>
        </is>
      </c>
    </row>
    <row r="200" ht="15" customHeight="1" s="19">
      <c r="A200" s="31" t="n">
        <v>2022</v>
      </c>
      <c r="B200" s="31" t="n">
        <v>16</v>
      </c>
      <c r="C200" s="31" t="inlineStr">
        <is>
          <t>シャイントレイルの2021</t>
        </is>
      </c>
      <c r="D200" s="31" t="inlineStr">
        <is>
          <t>トラジェクトワール (Trajectoire)</t>
        </is>
      </c>
      <c r="E200" s="31" t="inlineStr">
        <is>
          <t>モーリス</t>
        </is>
      </c>
      <c r="F200" s="31" t="inlineStr">
        <is>
          <t>牡</t>
        </is>
      </c>
      <c r="G200" s="31" t="n">
        <v>3</v>
      </c>
      <c r="H200" s="31" t="n">
        <v>7</v>
      </c>
      <c r="I200" s="31" t="n">
        <v>1</v>
      </c>
      <c r="J200" s="31" t="n">
        <v>4000</v>
      </c>
      <c r="K200" s="31" t="n">
        <v>437</v>
      </c>
      <c r="L200" s="31" t="n">
        <v>153</v>
      </c>
      <c r="M200" s="31" t="n">
        <v>176</v>
      </c>
      <c r="N200" s="31" t="n">
        <v>20.6</v>
      </c>
      <c r="O200" s="31" t="n">
        <v>400</v>
      </c>
      <c r="P200" s="31" t="inlineStr">
        <is>
          <t>尾関知人</t>
        </is>
      </c>
      <c r="Q200" s="31" t="inlineStr">
        <is>
          <t>19戦5勝</t>
        </is>
      </c>
      <c r="R200" s="31" t="n">
        <v>1</v>
      </c>
      <c r="S200" s="31" t="n">
        <v>4</v>
      </c>
      <c r="T200" s="31" t="n">
        <v>742</v>
      </c>
      <c r="U200" s="31" t="n">
        <v>230</v>
      </c>
      <c r="V200" s="31" t="n">
        <v>0.24</v>
      </c>
      <c r="W200" s="31" t="n">
        <v>0</v>
      </c>
      <c r="X200" s="31" t="inlineStr">
        <is>
          <t>23'2歳未勝利堀江舞アナ明日8月5日はお誕生日記念--&gt;</t>
        </is>
      </c>
      <c r="Y200" s="31" t="n">
        <v>2</v>
      </c>
      <c r="Z200" s="31" t="inlineStr">
        <is>
          <t>牡・420kg+</t>
        </is>
      </c>
    </row>
    <row r="201" ht="15" customHeight="1" s="19">
      <c r="A201" s="31" t="n">
        <v>2022</v>
      </c>
      <c r="B201" s="31" t="n">
        <v>17</v>
      </c>
      <c r="C201" s="31" t="inlineStr">
        <is>
          <t>ピュアブリーゼの2021</t>
        </is>
      </c>
      <c r="D201" s="31" t="inlineStr">
        <is>
          <t>ヴィントシュティレ (Windstille)</t>
        </is>
      </c>
      <c r="E201" s="31" t="inlineStr">
        <is>
          <t>モーリス</t>
        </is>
      </c>
      <c r="F201" s="31" t="inlineStr">
        <is>
          <t>メス</t>
        </is>
      </c>
      <c r="G201" s="31" t="n">
        <v>2</v>
      </c>
      <c r="H201" s="31" t="n">
        <v>13</v>
      </c>
      <c r="I201" s="31" t="n">
        <v>7</v>
      </c>
      <c r="J201" s="31" t="n">
        <v>2400</v>
      </c>
      <c r="K201" s="31" t="n">
        <v>480</v>
      </c>
      <c r="L201" s="31" t="n">
        <v>160</v>
      </c>
      <c r="M201" s="31" t="n">
        <v>182.5</v>
      </c>
      <c r="N201" s="31" t="n">
        <v>19.6</v>
      </c>
      <c r="O201" s="31" t="n">
        <v>400</v>
      </c>
      <c r="P201" s="31" t="inlineStr">
        <is>
          <t>古賀慎明</t>
        </is>
      </c>
      <c r="Q201" s="31" t="inlineStr">
        <is>
          <t>24戦2勝</t>
        </is>
      </c>
      <c r="R201" s="31" t="n">
        <v>1</v>
      </c>
      <c r="S201" s="31" t="n">
        <v>1</v>
      </c>
      <c r="T201" s="31" t="n">
        <v>923</v>
      </c>
      <c r="U201" s="31" t="n">
        <v>135</v>
      </c>
      <c r="V201" s="31" t="n">
        <v>0.44</v>
      </c>
      <c r="W201" s="31" t="n">
        <v>0</v>
      </c>
      <c r="X201" s="31" t="inlineStr">
        <is>
          <t>24'3歳未勝利最高の推し!真白生誕祭記念--&gt;</t>
        </is>
      </c>
      <c r="Y201" s="31" t="n">
        <v>1</v>
      </c>
      <c r="Z201" s="31" t="inlineStr">
        <is>
          <t>420kg+</t>
        </is>
      </c>
    </row>
    <row r="202" ht="15" customHeight="1" s="19">
      <c r="A202" s="31" t="n">
        <v>2022</v>
      </c>
      <c r="B202" s="31" t="n">
        <v>18</v>
      </c>
      <c r="C202" s="31" t="inlineStr">
        <is>
          <t>タイムハンドラーの2021</t>
        </is>
      </c>
      <c r="D202" s="31" t="inlineStr">
        <is>
          <t>タイムハンドラーの2021</t>
        </is>
      </c>
      <c r="E202" s="31" t="inlineStr">
        <is>
          <t>モーリス</t>
        </is>
      </c>
      <c r="F202" s="31" t="inlineStr">
        <is>
          <t>メス</t>
        </is>
      </c>
      <c r="G202" s="31" t="n">
        <v>2</v>
      </c>
      <c r="H202" s="31" t="n">
        <v>5</v>
      </c>
      <c r="I202" s="31" t="n">
        <v>1</v>
      </c>
      <c r="J202" s="31" t="n">
        <v>2000</v>
      </c>
      <c r="K202" s="31" t="n">
        <v>403</v>
      </c>
      <c r="L202" s="31" t="n">
        <v>149</v>
      </c>
      <c r="M202" s="31" t="n">
        <v>172.5</v>
      </c>
      <c r="N202" s="31" t="n">
        <v>18.6</v>
      </c>
      <c r="O202" s="31" t="n">
        <v>400</v>
      </c>
      <c r="P202" s="31" t="inlineStr">
        <is>
          <t>栗田徹</t>
        </is>
      </c>
      <c r="Q202" s="31" t="inlineStr">
        <is>
          <t>0戦0勝</t>
        </is>
      </c>
      <c r="R202" s="31" t="n">
        <v>0</v>
      </c>
      <c r="S202" s="31" t="n">
        <v>0</v>
      </c>
      <c r="T202" s="31" t="n">
        <v>0</v>
      </c>
      <c r="U202" s="31" t="n">
        <v>0</v>
      </c>
      <c r="V202" s="31" t="n">
        <v>0</v>
      </c>
      <c r="W202" s="31" t="n">
        <v>0</v>
      </c>
      <c r="X202" s="31" t="inlineStr">
        <is>
          <t>--&gt;</t>
        </is>
      </c>
      <c r="Y202" s="31" t="n">
        <v>0</v>
      </c>
      <c r="Z202" s="31" t="inlineStr"/>
    </row>
    <row r="203" ht="15" customHeight="1" s="19">
      <c r="A203" s="31" t="n">
        <v>2022</v>
      </c>
      <c r="B203" s="31" t="n">
        <v>19</v>
      </c>
      <c r="C203" s="31" t="inlineStr">
        <is>
          <t>ヴィータアレグリアの2021</t>
        </is>
      </c>
      <c r="D203" s="31" t="inlineStr">
        <is>
          <t>アグラード (Agrado)</t>
        </is>
      </c>
      <c r="E203" s="31" t="inlineStr">
        <is>
          <t>ニューイヤーズデイ</t>
        </is>
      </c>
      <c r="F203" s="31" t="inlineStr">
        <is>
          <t>牡</t>
        </is>
      </c>
      <c r="G203" s="31" t="n">
        <v>4</v>
      </c>
      <c r="H203" s="31" t="n">
        <v>10</v>
      </c>
      <c r="I203" s="31" t="n">
        <v>4</v>
      </c>
      <c r="J203" s="31" t="n">
        <v>3200</v>
      </c>
      <c r="K203" s="31" t="n">
        <v>440</v>
      </c>
      <c r="L203" s="31" t="n">
        <v>154</v>
      </c>
      <c r="M203" s="31" t="n">
        <v>177</v>
      </c>
      <c r="N203" s="31" t="n">
        <v>20.1</v>
      </c>
      <c r="O203" s="31" t="n">
        <v>400</v>
      </c>
      <c r="P203" s="31" t="inlineStr">
        <is>
          <t>高柳瑞樹</t>
        </is>
      </c>
      <c r="Q203" s="31" t="inlineStr">
        <is>
          <t>13戦2勝</t>
        </is>
      </c>
      <c r="R203" s="31" t="n">
        <v>2</v>
      </c>
      <c r="S203" s="31" t="n">
        <v>0</v>
      </c>
      <c r="T203" s="31" t="n">
        <v>2370</v>
      </c>
      <c r="U203" s="31" t="n">
        <v>0</v>
      </c>
      <c r="V203" s="31" t="n">
        <v>0.74</v>
      </c>
      <c r="W203" s="31" t="n">
        <v>0</v>
      </c>
      <c r="X203" s="31" t="inlineStr">
        <is>
          <t>25'4歳以上1勝クラス23'2歳未勝利--&gt;</t>
        </is>
      </c>
      <c r="Y203" s="31" t="n">
        <v>3</v>
      </c>
      <c r="Z203" s="31" t="inlineStr">
        <is>
          <t>牡・価格帯・420kg+</t>
        </is>
      </c>
    </row>
    <row r="204" ht="15" customHeight="1" s="19">
      <c r="A204" s="31" t="n">
        <v>2022</v>
      </c>
      <c r="B204" s="31" t="n">
        <v>20</v>
      </c>
      <c r="C204" s="31" t="inlineStr">
        <is>
          <t>チアズメッセージの2021</t>
        </is>
      </c>
      <c r="D204" s="31" t="inlineStr">
        <is>
          <t>ブレスワード (Bless Word)</t>
        </is>
      </c>
      <c r="E204" s="31" t="inlineStr">
        <is>
          <t>ニューイヤーズデイ</t>
        </is>
      </c>
      <c r="F204" s="31" t="inlineStr">
        <is>
          <t>牡</t>
        </is>
      </c>
      <c r="G204" s="31" t="n">
        <v>5</v>
      </c>
      <c r="H204" s="31" t="n">
        <v>21</v>
      </c>
      <c r="I204" s="31" t="n">
        <v>14</v>
      </c>
      <c r="J204" s="31" t="n">
        <v>3000</v>
      </c>
      <c r="K204" s="31" t="n">
        <v>439</v>
      </c>
      <c r="L204" s="31" t="n">
        <v>151.5</v>
      </c>
      <c r="M204" s="31" t="n">
        <v>173.5</v>
      </c>
      <c r="N204" s="31" t="n">
        <v>20.5</v>
      </c>
      <c r="O204" s="31" t="n">
        <v>400</v>
      </c>
      <c r="P204" s="31" t="inlineStr">
        <is>
          <t>中舘英二</t>
        </is>
      </c>
      <c r="Q204" s="31" t="inlineStr">
        <is>
          <t>12戦4勝</t>
        </is>
      </c>
      <c r="R204" s="31" t="n">
        <v>3</v>
      </c>
      <c r="S204" s="31" t="n">
        <v>1</v>
      </c>
      <c r="T204" s="31" t="n">
        <v>3084</v>
      </c>
      <c r="U204" s="31" t="n">
        <v>217</v>
      </c>
      <c r="V204" s="31" t="n">
        <v>1.1</v>
      </c>
      <c r="W204" s="31" t="n">
        <v>0</v>
      </c>
      <c r="X204" s="31" t="inlineStr">
        <is>
          <t>25'4歳以上2勝クラス25'4歳以上1勝クラス--&gt;</t>
        </is>
      </c>
      <c r="Y204" s="31" t="n">
        <v>3</v>
      </c>
      <c r="Z204" s="31" t="inlineStr">
        <is>
          <t>牡・価格帯・420kg+</t>
        </is>
      </c>
    </row>
    <row r="205" ht="15" customHeight="1" s="19">
      <c r="A205" s="31" t="n">
        <v>2022</v>
      </c>
      <c r="B205" s="31" t="n">
        <v>21</v>
      </c>
      <c r="C205" s="31" t="inlineStr">
        <is>
          <t>スペクトロライトの2021</t>
        </is>
      </c>
      <c r="D205" s="31" t="inlineStr">
        <is>
          <t>イリディセント (Iridescent)</t>
        </is>
      </c>
      <c r="E205" s="31" t="inlineStr">
        <is>
          <t>ニューイヤーズデイ</t>
        </is>
      </c>
      <c r="F205" s="31" t="inlineStr">
        <is>
          <t>メス</t>
        </is>
      </c>
      <c r="G205" s="31" t="n">
        <v>1</v>
      </c>
      <c r="H205" s="31" t="n">
        <v>11</v>
      </c>
      <c r="I205" s="31" t="n">
        <v>5</v>
      </c>
      <c r="J205" s="31" t="n">
        <v>2400</v>
      </c>
      <c r="K205" s="31" t="n">
        <v>433</v>
      </c>
      <c r="L205" s="31" t="n">
        <v>153.5</v>
      </c>
      <c r="M205" s="31" t="n">
        <v>173</v>
      </c>
      <c r="N205" s="31" t="n">
        <v>19.8</v>
      </c>
      <c r="O205" s="31" t="n">
        <v>400</v>
      </c>
      <c r="P205" s="31" t="inlineStr">
        <is>
          <t>田中剛</t>
        </is>
      </c>
      <c r="Q205" s="31" t="inlineStr">
        <is>
          <t>10戦1勝</t>
        </is>
      </c>
      <c r="R205" s="31" t="n">
        <v>1</v>
      </c>
      <c r="S205" s="31" t="n">
        <v>0</v>
      </c>
      <c r="T205" s="31" t="n">
        <v>860</v>
      </c>
      <c r="U205" s="31" t="n">
        <v>0</v>
      </c>
      <c r="V205" s="31" t="n">
        <v>0.36</v>
      </c>
      <c r="W205" s="31" t="n">
        <v>0</v>
      </c>
      <c r="X205" s="31" t="inlineStr">
        <is>
          <t>23'2歳未勝利--&gt;</t>
        </is>
      </c>
      <c r="Y205" s="31" t="n">
        <v>1</v>
      </c>
      <c r="Z205" s="31" t="inlineStr">
        <is>
          <t>420kg+</t>
        </is>
      </c>
    </row>
    <row r="206" ht="15" customHeight="1" s="19">
      <c r="A206" s="31" t="n">
        <v>2022</v>
      </c>
      <c r="B206" s="31" t="n">
        <v>22</v>
      </c>
      <c r="C206" s="31" t="inlineStr">
        <is>
          <t>アンジュシャルマンの2021</t>
        </is>
      </c>
      <c r="D206" s="31" t="inlineStr">
        <is>
          <t>レシェルドランジュ (L'Echellede l'Ange)</t>
        </is>
      </c>
      <c r="E206" s="31" t="inlineStr">
        <is>
          <t>ニューイヤーズデイ</t>
        </is>
      </c>
      <c r="F206" s="31" t="inlineStr">
        <is>
          <t>メス</t>
        </is>
      </c>
      <c r="G206" s="31" t="n">
        <v>2</v>
      </c>
      <c r="H206" s="31" t="n">
        <v>7</v>
      </c>
      <c r="I206" s="31" t="n">
        <v>2</v>
      </c>
      <c r="J206" s="31" t="n">
        <v>2000</v>
      </c>
      <c r="K206" s="31" t="n">
        <v>441</v>
      </c>
      <c r="L206" s="31" t="n">
        <v>153</v>
      </c>
      <c r="M206" s="31" t="n">
        <v>175</v>
      </c>
      <c r="N206" s="31" t="n">
        <v>19</v>
      </c>
      <c r="O206" s="31" t="n">
        <v>400</v>
      </c>
      <c r="P206" s="31" t="inlineStr">
        <is>
          <t>伊藤大士</t>
        </is>
      </c>
      <c r="Q206" s="31" t="inlineStr">
        <is>
          <t>11戦2勝</t>
        </is>
      </c>
      <c r="R206" s="31" t="n">
        <v>1</v>
      </c>
      <c r="S206" s="31" t="n">
        <v>1</v>
      </c>
      <c r="T206" s="31" t="n">
        <v>550</v>
      </c>
      <c r="U206" s="31" t="n">
        <v>85</v>
      </c>
      <c r="V206" s="31" t="n">
        <v>0.32</v>
      </c>
      <c r="W206" s="31" t="n">
        <v>0</v>
      </c>
      <c r="X206" s="31" t="inlineStr">
        <is>
          <t>24'3歳未勝利C7組--&gt;</t>
        </is>
      </c>
      <c r="Y206" s="31" t="n">
        <v>1</v>
      </c>
      <c r="Z206" s="31" t="inlineStr">
        <is>
          <t>420kg+</t>
        </is>
      </c>
    </row>
    <row r="207" ht="15" customHeight="1" s="19">
      <c r="A207" s="31" t="n">
        <v>2022</v>
      </c>
      <c r="B207" s="31" t="n">
        <v>23</v>
      </c>
      <c r="C207" s="31" t="inlineStr">
        <is>
          <t>エスティタートの2021</t>
        </is>
      </c>
      <c r="D207" s="31" t="inlineStr">
        <is>
          <t>ポンポーソ</t>
        </is>
      </c>
      <c r="E207" s="31" t="inlineStr">
        <is>
          <t>ブリックスアンドモルタル</t>
        </is>
      </c>
      <c r="F207" s="31" t="inlineStr">
        <is>
          <t>メス</t>
        </is>
      </c>
      <c r="G207" s="31" t="n">
        <v>2</v>
      </c>
      <c r="H207" s="31" t="n">
        <v>8</v>
      </c>
      <c r="I207" s="31" t="n">
        <v>2</v>
      </c>
      <c r="J207" s="31" t="n">
        <v>2000</v>
      </c>
      <c r="K207" s="31" t="n">
        <v>411</v>
      </c>
      <c r="L207" s="31" t="n">
        <v>146</v>
      </c>
      <c r="M207" s="31" t="n">
        <v>168</v>
      </c>
      <c r="N207" s="31" t="n">
        <v>18.9</v>
      </c>
      <c r="O207" s="31" t="n">
        <v>400</v>
      </c>
      <c r="P207" s="31" t="inlineStr">
        <is>
          <t>奥村武</t>
        </is>
      </c>
      <c r="Q207" s="31" t="inlineStr">
        <is>
          <t>0戦0勝</t>
        </is>
      </c>
      <c r="R207" s="31" t="n">
        <v>0</v>
      </c>
      <c r="S207" s="31" t="n">
        <v>0</v>
      </c>
      <c r="T207" s="31" t="n">
        <v>0</v>
      </c>
      <c r="U207" s="31" t="n">
        <v>0</v>
      </c>
      <c r="V207" s="31" t="n">
        <v>0</v>
      </c>
      <c r="W207" s="31" t="n">
        <v>0</v>
      </c>
      <c r="X207" s="31" t="inlineStr">
        <is>
          <t>--&gt;</t>
        </is>
      </c>
      <c r="Y207" s="31" t="n">
        <v>0</v>
      </c>
      <c r="Z207" s="31" t="inlineStr"/>
    </row>
    <row r="208" ht="15" customHeight="1" s="19">
      <c r="A208" s="31" t="n">
        <v>2022</v>
      </c>
      <c r="B208" s="31" t="n">
        <v>24</v>
      </c>
      <c r="C208" s="31" t="inlineStr">
        <is>
          <t>パルティトゥーラの2021</t>
        </is>
      </c>
      <c r="D208" s="31" t="inlineStr">
        <is>
          <t>スパルティート (Spartito)</t>
        </is>
      </c>
      <c r="E208" s="31" t="inlineStr">
        <is>
          <t>ブリックスアンドモルタル</t>
        </is>
      </c>
      <c r="F208" s="31" t="inlineStr">
        <is>
          <t>メス</t>
        </is>
      </c>
      <c r="G208" s="31" t="n">
        <v>3</v>
      </c>
      <c r="H208" s="31" t="n">
        <v>7</v>
      </c>
      <c r="I208" s="31" t="n">
        <v>2</v>
      </c>
      <c r="J208" s="31" t="n">
        <v>2800</v>
      </c>
      <c r="K208" s="31" t="n">
        <v>412</v>
      </c>
      <c r="L208" s="31" t="n">
        <v>154</v>
      </c>
      <c r="M208" s="31" t="n">
        <v>166</v>
      </c>
      <c r="N208" s="31" t="n">
        <v>21</v>
      </c>
      <c r="O208" s="31" t="n">
        <v>400</v>
      </c>
      <c r="P208" s="31" t="inlineStr">
        <is>
          <t>和田正一郎</t>
        </is>
      </c>
      <c r="Q208" s="31" t="inlineStr">
        <is>
          <t>2戦0勝</t>
        </is>
      </c>
      <c r="R208" s="31" t="n">
        <v>0</v>
      </c>
      <c r="S208" s="31" t="n">
        <v>0</v>
      </c>
      <c r="T208" s="31" t="n">
        <v>0</v>
      </c>
      <c r="U208" s="31" t="n">
        <v>0</v>
      </c>
      <c r="V208" s="31" t="n">
        <v>0</v>
      </c>
      <c r="W208" s="31" t="n">
        <v>0</v>
      </c>
      <c r="X208" s="31" t="inlineStr">
        <is>
          <t>--&gt;</t>
        </is>
      </c>
      <c r="Y208" s="31" t="n">
        <v>1</v>
      </c>
      <c r="Z208" s="31" t="inlineStr">
        <is>
          <t>価格帯</t>
        </is>
      </c>
    </row>
    <row r="209" ht="15" customHeight="1" s="19">
      <c r="A209" s="31" t="n">
        <v>2022</v>
      </c>
      <c r="B209" s="31" t="n">
        <v>25</v>
      </c>
      <c r="C209" s="31" t="inlineStr">
        <is>
          <t>フレジェールの2021</t>
        </is>
      </c>
      <c r="D209" s="31" t="inlineStr">
        <is>
          <t>モンタンヴェール (Montenvers)</t>
        </is>
      </c>
      <c r="E209" s="31" t="inlineStr">
        <is>
          <t>ブリックスアンドモルタル</t>
        </is>
      </c>
      <c r="F209" s="31" t="inlineStr">
        <is>
          <t>メス</t>
        </is>
      </c>
      <c r="G209" s="31" t="n">
        <v>4</v>
      </c>
      <c r="H209" s="31" t="n">
        <v>17</v>
      </c>
      <c r="I209" s="31" t="n">
        <v>9</v>
      </c>
      <c r="J209" s="31" t="n">
        <v>2000</v>
      </c>
      <c r="K209" s="31" t="n">
        <v>390</v>
      </c>
      <c r="L209" s="31" t="n">
        <v>151.5</v>
      </c>
      <c r="M209" s="31" t="n">
        <v>173</v>
      </c>
      <c r="N209" s="31" t="n">
        <v>20</v>
      </c>
      <c r="O209" s="31" t="n">
        <v>400</v>
      </c>
      <c r="P209" s="31" t="inlineStr">
        <is>
          <t>堀宣行</t>
        </is>
      </c>
      <c r="Q209" s="31" t="inlineStr">
        <is>
          <t>3戦0勝</t>
        </is>
      </c>
      <c r="R209" s="31" t="n">
        <v>0</v>
      </c>
      <c r="S209" s="31" t="n">
        <v>0</v>
      </c>
      <c r="T209" s="31" t="n">
        <v>0</v>
      </c>
      <c r="U209" s="31" t="n">
        <v>0</v>
      </c>
      <c r="V209" s="31" t="n">
        <v>0</v>
      </c>
      <c r="W209" s="31" t="n">
        <v>0</v>
      </c>
      <c r="X209" s="31" t="inlineStr">
        <is>
          <t>--&gt;</t>
        </is>
      </c>
      <c r="Y209" s="31" t="n">
        <v>0</v>
      </c>
      <c r="Z209" s="31" t="inlineStr"/>
    </row>
    <row r="210" ht="15" customHeight="1" s="19">
      <c r="A210" s="31" t="n">
        <v>2022</v>
      </c>
      <c r="B210" s="31" t="n">
        <v>26</v>
      </c>
      <c r="C210" s="31" t="inlineStr">
        <is>
          <t>ケイティーズハートの2021</t>
        </is>
      </c>
      <c r="D210" s="31" t="inlineStr">
        <is>
          <t>イゾラフェリーチェ (Isola Felice)</t>
        </is>
      </c>
      <c r="E210" s="31" t="inlineStr">
        <is>
          <t>サトノクラウン</t>
        </is>
      </c>
      <c r="F210" s="31" t="inlineStr">
        <is>
          <t>メス</t>
        </is>
      </c>
      <c r="G210" s="31" t="n">
        <v>3</v>
      </c>
      <c r="H210" s="31" t="n">
        <v>12</v>
      </c>
      <c r="I210" s="31" t="n">
        <v>6</v>
      </c>
      <c r="J210" s="31" t="n">
        <v>4000</v>
      </c>
      <c r="K210" s="31" t="n">
        <v>455</v>
      </c>
      <c r="L210" s="31" t="n">
        <v>155.5</v>
      </c>
      <c r="M210" s="31" t="n">
        <v>172.5</v>
      </c>
      <c r="N210" s="31" t="n">
        <v>21.3</v>
      </c>
      <c r="O210" s="31" t="n">
        <v>400</v>
      </c>
      <c r="P210" s="31" t="inlineStr">
        <is>
          <t>鹿戸雄一</t>
        </is>
      </c>
      <c r="Q210" s="31" t="inlineStr">
        <is>
          <t>17戦2勝</t>
        </is>
      </c>
      <c r="R210" s="31" t="n">
        <v>2</v>
      </c>
      <c r="S210" s="31" t="n">
        <v>0</v>
      </c>
      <c r="T210" s="31" t="n">
        <v>3973</v>
      </c>
      <c r="U210" s="31" t="n">
        <v>0</v>
      </c>
      <c r="V210" s="31" t="n">
        <v>0.99</v>
      </c>
      <c r="W210" s="31" t="n">
        <v>0</v>
      </c>
      <c r="X210" s="31" t="inlineStr">
        <is>
          <t>24'デイジー賞(1勝クラス)23'2歳未勝利--&gt;</t>
        </is>
      </c>
      <c r="Y210" s="31" t="n">
        <v>1</v>
      </c>
      <c r="Z210" s="31" t="inlineStr">
        <is>
          <t>420kg+</t>
        </is>
      </c>
    </row>
    <row r="211" ht="15" customHeight="1" s="19">
      <c r="A211" s="31" t="n">
        <v>2022</v>
      </c>
      <c r="B211" s="31" t="n">
        <v>27</v>
      </c>
      <c r="C211" s="31" t="inlineStr">
        <is>
          <t>プルメリアスターの2021</t>
        </is>
      </c>
      <c r="D211" s="31" t="inlineStr">
        <is>
          <t>ジオセントリック (Geocentric)</t>
        </is>
      </c>
      <c r="E211" s="31" t="inlineStr">
        <is>
          <t>ハービンジャー</t>
        </is>
      </c>
      <c r="F211" s="31" t="inlineStr">
        <is>
          <t>牡</t>
        </is>
      </c>
      <c r="G211" s="31" t="n">
        <v>3</v>
      </c>
      <c r="H211" s="31" t="n">
        <v>9</v>
      </c>
      <c r="I211" s="31" t="n">
        <v>3</v>
      </c>
      <c r="J211" s="31" t="n">
        <v>4000</v>
      </c>
      <c r="K211" s="31" t="n">
        <v>441</v>
      </c>
      <c r="L211" s="31" t="n">
        <v>156</v>
      </c>
      <c r="M211" s="31" t="n">
        <v>174.5</v>
      </c>
      <c r="N211" s="31" t="n">
        <v>20</v>
      </c>
      <c r="O211" s="31" t="n">
        <v>400</v>
      </c>
      <c r="P211" s="31" t="inlineStr">
        <is>
          <t>手塚貴久</t>
        </is>
      </c>
      <c r="Q211" s="31" t="inlineStr">
        <is>
          <t>7戦2勝</t>
        </is>
      </c>
      <c r="R211" s="31" t="n">
        <v>2</v>
      </c>
      <c r="S211" s="31" t="n">
        <v>0</v>
      </c>
      <c r="T211" s="31" t="n">
        <v>3709</v>
      </c>
      <c r="U211" s="31" t="n">
        <v>0</v>
      </c>
      <c r="V211" s="31" t="n">
        <v>0.93</v>
      </c>
      <c r="W211" s="31" t="n">
        <v>0</v>
      </c>
      <c r="X211" s="31" t="inlineStr">
        <is>
          <t>24'3歳以上1勝クラス23'2歳新馬--&gt;</t>
        </is>
      </c>
      <c r="Y211" s="31" t="n">
        <v>2</v>
      </c>
      <c r="Z211" s="31" t="inlineStr">
        <is>
          <t>牡・420kg+</t>
        </is>
      </c>
    </row>
    <row r="212" ht="15" customHeight="1" s="19">
      <c r="A212" s="31" t="n">
        <v>2022</v>
      </c>
      <c r="B212" s="31" t="n">
        <v>29</v>
      </c>
      <c r="C212" s="31" t="inlineStr">
        <is>
          <t>ヒカルアモーレの2021</t>
        </is>
      </c>
      <c r="D212" s="31" t="inlineStr">
        <is>
          <t>グランルフレ</t>
        </is>
      </c>
      <c r="E212" s="31" t="inlineStr">
        <is>
          <t>リアルインパクト</t>
        </is>
      </c>
      <c r="F212" s="31" t="inlineStr">
        <is>
          <t>牡</t>
        </is>
      </c>
      <c r="G212" s="31" t="n">
        <v>5</v>
      </c>
      <c r="H212" s="31" t="n">
        <v>17</v>
      </c>
      <c r="I212" s="31" t="n">
        <v>10</v>
      </c>
      <c r="J212" s="31" t="n">
        <v>2400</v>
      </c>
      <c r="K212" s="31" t="n">
        <v>478</v>
      </c>
      <c r="L212" s="31" t="n">
        <v>159</v>
      </c>
      <c r="M212" s="31" t="n">
        <v>177</v>
      </c>
      <c r="N212" s="31" t="n">
        <v>20.5</v>
      </c>
      <c r="O212" s="31" t="n">
        <v>400</v>
      </c>
      <c r="P212" s="31" t="inlineStr">
        <is>
          <t>戸田博文</t>
        </is>
      </c>
      <c r="Q212" s="31" t="inlineStr">
        <is>
          <t>0戦0勝</t>
        </is>
      </c>
      <c r="R212" s="31" t="n">
        <v>0</v>
      </c>
      <c r="S212" s="31" t="n">
        <v>0</v>
      </c>
      <c r="T212" s="31" t="n">
        <v>0</v>
      </c>
      <c r="U212" s="31" t="n">
        <v>0</v>
      </c>
      <c r="V212" s="31" t="n">
        <v>0</v>
      </c>
      <c r="W212" s="31" t="n">
        <v>0</v>
      </c>
      <c r="X212" s="31" t="inlineStr">
        <is>
          <t>--&gt;</t>
        </is>
      </c>
      <c r="Y212" s="31" t="n">
        <v>2</v>
      </c>
      <c r="Z212" s="31" t="inlineStr">
        <is>
          <t>牡・420kg+</t>
        </is>
      </c>
    </row>
    <row r="213" ht="15" customHeight="1" s="19">
      <c r="A213" s="31" t="n">
        <v>2022</v>
      </c>
      <c r="B213" s="31" t="n">
        <v>30</v>
      </c>
      <c r="C213" s="31" t="inlineStr">
        <is>
          <t>コケレールの2021</t>
        </is>
      </c>
      <c r="D213" s="31" t="inlineStr">
        <is>
          <t>ヴェラベレッツァ (Vera Bellezza)</t>
        </is>
      </c>
      <c r="E213" s="31" t="inlineStr">
        <is>
          <t>リアルインパクト</t>
        </is>
      </c>
      <c r="F213" s="31" t="inlineStr">
        <is>
          <t>メス</t>
        </is>
      </c>
      <c r="G213" s="31" t="n">
        <v>2</v>
      </c>
      <c r="H213" s="31" t="n">
        <v>17</v>
      </c>
      <c r="I213" s="31" t="n">
        <v>10</v>
      </c>
      <c r="J213" s="31" t="n">
        <v>1800</v>
      </c>
      <c r="K213" s="31" t="n">
        <v>467</v>
      </c>
      <c r="L213" s="31" t="n">
        <v>158.5</v>
      </c>
      <c r="M213" s="31" t="n">
        <v>180.5</v>
      </c>
      <c r="N213" s="31" t="n">
        <v>19.9</v>
      </c>
      <c r="O213" s="31" t="n">
        <v>400</v>
      </c>
      <c r="P213" s="31" t="inlineStr">
        <is>
          <t>小島茂之</t>
        </is>
      </c>
      <c r="Q213" s="31" t="inlineStr">
        <is>
          <t>5戦0勝</t>
        </is>
      </c>
      <c r="R213" s="31" t="n">
        <v>0</v>
      </c>
      <c r="S213" s="31" t="n">
        <v>0</v>
      </c>
      <c r="T213" s="31" t="n">
        <v>110</v>
      </c>
      <c r="U213" s="31" t="n">
        <v>0</v>
      </c>
      <c r="V213" s="31" t="n">
        <v>0.06</v>
      </c>
      <c r="W213" s="31" t="n">
        <v>0</v>
      </c>
      <c r="X213" s="31" t="inlineStr">
        <is>
          <t>--&gt;</t>
        </is>
      </c>
      <c r="Y213" s="31" t="n">
        <v>1</v>
      </c>
      <c r="Z213" s="31" t="inlineStr">
        <is>
          <t>420kg+</t>
        </is>
      </c>
    </row>
    <row r="214" ht="15" customHeight="1" s="19">
      <c r="A214" s="31" t="n">
        <v>2022</v>
      </c>
      <c r="B214" s="31" t="n">
        <v>31</v>
      </c>
      <c r="C214" s="31" t="inlineStr">
        <is>
          <t>アイヴィベルの2021</t>
        </is>
      </c>
      <c r="D214" s="31" t="inlineStr">
        <is>
          <t>ミダース (Midas)</t>
        </is>
      </c>
      <c r="E214" s="31" t="inlineStr">
        <is>
          <t>レイデオロ</t>
        </is>
      </c>
      <c r="F214" s="31" t="inlineStr">
        <is>
          <t>牡</t>
        </is>
      </c>
      <c r="G214" s="31" t="n">
        <v>2</v>
      </c>
      <c r="H214" s="31" t="n">
        <v>8</v>
      </c>
      <c r="I214" s="31" t="n">
        <v>2</v>
      </c>
      <c r="J214" s="31" t="n">
        <v>4600</v>
      </c>
      <c r="K214" s="31" t="n">
        <v>485</v>
      </c>
      <c r="L214" s="31" t="n">
        <v>157</v>
      </c>
      <c r="M214" s="31" t="n">
        <v>182.5</v>
      </c>
      <c r="N214" s="31" t="n">
        <v>21.2</v>
      </c>
      <c r="O214" s="31" t="n">
        <v>400</v>
      </c>
      <c r="P214" s="31" t="inlineStr">
        <is>
          <t>栗田徹</t>
        </is>
      </c>
      <c r="Q214" s="31" t="inlineStr">
        <is>
          <t>10戦2勝</t>
        </is>
      </c>
      <c r="R214" s="31" t="n">
        <v>2</v>
      </c>
      <c r="S214" s="31" t="n">
        <v>0</v>
      </c>
      <c r="T214" s="31" t="n">
        <v>3070</v>
      </c>
      <c r="U214" s="31" t="n">
        <v>0</v>
      </c>
      <c r="V214" s="31" t="n">
        <v>0.67</v>
      </c>
      <c r="W214" s="31" t="n">
        <v>0</v>
      </c>
      <c r="X214" s="31" t="inlineStr">
        <is>
          <t>25'3歳以上1勝クラス24'3歳未勝利--&gt;</t>
        </is>
      </c>
      <c r="Y214" s="31" t="n">
        <v>2</v>
      </c>
      <c r="Z214" s="31" t="inlineStr">
        <is>
          <t>牡・420kg+</t>
        </is>
      </c>
    </row>
    <row r="215" ht="15" customHeight="1" s="19">
      <c r="A215" s="31" t="n">
        <v>2022</v>
      </c>
      <c r="B215" s="31" t="n">
        <v>32</v>
      </c>
      <c r="C215" s="31" t="inlineStr">
        <is>
          <t>マリアライトの2021</t>
        </is>
      </c>
      <c r="D215" s="31" t="inlineStr">
        <is>
          <t>マリガーネット (Mali Garnet)</t>
        </is>
      </c>
      <c r="E215" s="31" t="inlineStr">
        <is>
          <t>レイデオロ</t>
        </is>
      </c>
      <c r="F215" s="31" t="inlineStr">
        <is>
          <t>メス</t>
        </is>
      </c>
      <c r="G215" s="31" t="n">
        <v>2</v>
      </c>
      <c r="H215" s="31" t="n">
        <v>10</v>
      </c>
      <c r="I215" s="31" t="n">
        <v>4</v>
      </c>
      <c r="J215" s="31" t="n">
        <v>5000</v>
      </c>
      <c r="K215" s="31" t="n">
        <v>391</v>
      </c>
      <c r="L215" s="31" t="n">
        <v>149.5</v>
      </c>
      <c r="M215" s="31" t="n">
        <v>169.5</v>
      </c>
      <c r="N215" s="31" t="n">
        <v>19.5</v>
      </c>
      <c r="O215" s="31" t="n">
        <v>400</v>
      </c>
      <c r="P215" s="31" t="inlineStr">
        <is>
          <t>久保田貴士</t>
        </is>
      </c>
      <c r="Q215" s="31" t="inlineStr">
        <is>
          <t>4戦0勝</t>
        </is>
      </c>
      <c r="R215" s="31" t="n">
        <v>0</v>
      </c>
      <c r="S215" s="31" t="n">
        <v>0</v>
      </c>
      <c r="T215" s="31" t="n">
        <v>62</v>
      </c>
      <c r="U215" s="31" t="n">
        <v>0</v>
      </c>
      <c r="V215" s="31" t="n">
        <v>0.01</v>
      </c>
      <c r="W215" s="31" t="n">
        <v>0</v>
      </c>
      <c r="X215" s="31" t="inlineStr">
        <is>
          <t>--&gt;</t>
        </is>
      </c>
      <c r="Y215" s="31" t="n">
        <v>0</v>
      </c>
      <c r="Z215" s="31" t="inlineStr"/>
    </row>
    <row r="216" ht="15" customHeight="1" s="19">
      <c r="A216" s="31" t="n">
        <v>2022</v>
      </c>
      <c r="B216" s="31" t="n">
        <v>33</v>
      </c>
      <c r="C216" s="31" t="inlineStr">
        <is>
          <t>スプリングゲイルの2021</t>
        </is>
      </c>
      <c r="D216" s="31" t="inlineStr">
        <is>
          <t>ヴァンセゾニエ (Vent Saisonnier)</t>
        </is>
      </c>
      <c r="E216" s="31" t="inlineStr">
        <is>
          <t>ミッキーアイル</t>
        </is>
      </c>
      <c r="F216" s="31" t="inlineStr">
        <is>
          <t>牡</t>
        </is>
      </c>
      <c r="G216" s="31" t="n">
        <v>5</v>
      </c>
      <c r="H216" s="31" t="n">
        <v>7</v>
      </c>
      <c r="I216" s="31" t="n">
        <v>2</v>
      </c>
      <c r="J216" s="31" t="n">
        <v>2400</v>
      </c>
      <c r="K216" s="31" t="n">
        <v>435</v>
      </c>
      <c r="L216" s="31" t="n">
        <v>148</v>
      </c>
      <c r="M216" s="31" t="n">
        <v>175</v>
      </c>
      <c r="N216" s="31" t="n">
        <v>20</v>
      </c>
      <c r="O216" s="31" t="n">
        <v>400</v>
      </c>
      <c r="P216" s="31" t="inlineStr">
        <is>
          <t>武藤善則</t>
        </is>
      </c>
      <c r="Q216" s="31" t="inlineStr">
        <is>
          <t>19戦2勝</t>
        </is>
      </c>
      <c r="R216" s="31" t="n">
        <v>0</v>
      </c>
      <c r="S216" s="31" t="n">
        <v>2</v>
      </c>
      <c r="T216" s="31" t="n">
        <v>386</v>
      </c>
      <c r="U216" s="31" t="n">
        <v>266</v>
      </c>
      <c r="V216" s="31" t="n">
        <v>0.27</v>
      </c>
      <c r="W216" s="31" t="n">
        <v>0</v>
      </c>
      <c r="X216" s="31" t="inlineStr">
        <is>
          <t>C1二C2一--&gt;</t>
        </is>
      </c>
      <c r="Y216" s="31" t="n">
        <v>2</v>
      </c>
      <c r="Z216" s="31" t="inlineStr">
        <is>
          <t>牡・420kg+</t>
        </is>
      </c>
    </row>
    <row r="217" ht="15" customHeight="1" s="19">
      <c r="A217" s="31" t="n">
        <v>2022</v>
      </c>
      <c r="B217" s="31" t="n">
        <v>35</v>
      </c>
      <c r="C217" s="31" t="inlineStr">
        <is>
          <t>ミセスワタナベの2021</t>
        </is>
      </c>
      <c r="D217" s="31" t="inlineStr">
        <is>
          <t>アルシミスト (Alchimiste)</t>
        </is>
      </c>
      <c r="E217" s="31" t="inlineStr">
        <is>
          <t>オルフェーヴル</t>
        </is>
      </c>
      <c r="F217" s="31" t="inlineStr">
        <is>
          <t>牡</t>
        </is>
      </c>
      <c r="G217" s="31" t="n">
        <v>3</v>
      </c>
      <c r="H217" s="31" t="n">
        <v>7</v>
      </c>
      <c r="I217" s="31" t="n">
        <v>1</v>
      </c>
      <c r="J217" s="31" t="n">
        <v>3000</v>
      </c>
      <c r="K217" s="31" t="n">
        <v>456</v>
      </c>
      <c r="L217" s="31" t="n">
        <v>152</v>
      </c>
      <c r="M217" s="31" t="n">
        <v>172</v>
      </c>
      <c r="N217" s="31" t="n">
        <v>20.4</v>
      </c>
      <c r="O217" s="31" t="n">
        <v>400</v>
      </c>
      <c r="P217" s="31" t="inlineStr">
        <is>
          <t>木村哲也</t>
        </is>
      </c>
      <c r="Q217" s="31" t="inlineStr">
        <is>
          <t>11戦1勝</t>
        </is>
      </c>
      <c r="R217" s="31" t="n">
        <v>1</v>
      </c>
      <c r="S217" s="31" t="n">
        <v>0</v>
      </c>
      <c r="T217" s="31" t="n">
        <v>770</v>
      </c>
      <c r="U217" s="31" t="n">
        <v>0</v>
      </c>
      <c r="V217" s="31" t="n">
        <v>0.26</v>
      </c>
      <c r="W217" s="31" t="n">
        <v>0</v>
      </c>
      <c r="X217" s="31" t="inlineStr">
        <is>
          <t>24'3歳未勝利--&gt;</t>
        </is>
      </c>
      <c r="Y217" s="31" t="n">
        <v>3</v>
      </c>
      <c r="Z217" s="31" t="inlineStr">
        <is>
          <t>牡・価格帯・420kg+</t>
        </is>
      </c>
    </row>
    <row r="218" ht="15" customHeight="1" s="19">
      <c r="A218" s="31" t="n">
        <v>2022</v>
      </c>
      <c r="B218" s="31" t="n">
        <v>36</v>
      </c>
      <c r="C218" s="31" t="inlineStr">
        <is>
          <t>エンプレスティアラの2021</t>
        </is>
      </c>
      <c r="D218" s="31" t="inlineStr">
        <is>
          <t>イクリール (Iklil)</t>
        </is>
      </c>
      <c r="E218" s="31" t="inlineStr">
        <is>
          <t>シュヴァルグラン</t>
        </is>
      </c>
      <c r="F218" s="31" t="inlineStr">
        <is>
          <t>牡</t>
        </is>
      </c>
      <c r="G218" s="31" t="n">
        <v>4</v>
      </c>
      <c r="H218" s="31" t="n">
        <v>17</v>
      </c>
      <c r="I218" s="31" t="n">
        <v>12</v>
      </c>
      <c r="J218" s="31" t="n">
        <v>2000</v>
      </c>
      <c r="K218" s="31" t="n">
        <v>445</v>
      </c>
      <c r="L218" s="31" t="n">
        <v>160</v>
      </c>
      <c r="M218" s="31" t="n">
        <v>175.5</v>
      </c>
      <c r="N218" s="31" t="n">
        <v>21</v>
      </c>
      <c r="O218" s="31" t="n">
        <v>400</v>
      </c>
      <c r="P218" s="31" t="inlineStr">
        <is>
          <t>青木孝文</t>
        </is>
      </c>
      <c r="Q218" s="31" t="inlineStr">
        <is>
          <t>16戦2勝</t>
        </is>
      </c>
      <c r="R218" s="31" t="n">
        <v>2</v>
      </c>
      <c r="S218" s="31" t="n">
        <v>0</v>
      </c>
      <c r="T218" s="31" t="n">
        <v>3909</v>
      </c>
      <c r="U218" s="31" t="n">
        <v>0</v>
      </c>
      <c r="V218" s="31" t="n">
        <v>1.95</v>
      </c>
      <c r="W218" s="31" t="n">
        <v>0</v>
      </c>
      <c r="X218" s="31" t="inlineStr">
        <is>
          <t>25'4歳以上1勝クラス25'4歳以上1勝クラス--&gt;</t>
        </is>
      </c>
      <c r="Y218" s="31" t="n">
        <v>2</v>
      </c>
      <c r="Z218" s="31" t="inlineStr">
        <is>
          <t>牡・420kg+</t>
        </is>
      </c>
    </row>
    <row r="219" ht="15" customHeight="1" s="19">
      <c r="A219" s="31" t="n">
        <v>2022</v>
      </c>
      <c r="B219" s="31" t="n">
        <v>37</v>
      </c>
      <c r="C219" s="31" t="inlineStr">
        <is>
          <t>ジンジャーパンチの2021</t>
        </is>
      </c>
      <c r="D219" s="31" t="inlineStr">
        <is>
          <t>シトラール (Citral)</t>
        </is>
      </c>
      <c r="E219" s="31" t="inlineStr">
        <is>
          <t>スワーヴリチャード</t>
        </is>
      </c>
      <c r="F219" s="31" t="inlineStr">
        <is>
          <t>牡</t>
        </is>
      </c>
      <c r="G219" s="31" t="n">
        <v>3</v>
      </c>
      <c r="H219" s="31" t="n">
        <v>18</v>
      </c>
      <c r="I219" s="31" t="n">
        <v>12</v>
      </c>
      <c r="J219" s="31" t="n">
        <v>5000</v>
      </c>
      <c r="K219" s="31" t="n">
        <v>463</v>
      </c>
      <c r="L219" s="31" t="n">
        <v>151.5</v>
      </c>
      <c r="M219" s="31" t="n">
        <v>176</v>
      </c>
      <c r="N219" s="31" t="n">
        <v>20.4</v>
      </c>
      <c r="O219" s="31" t="n">
        <v>400</v>
      </c>
      <c r="P219" s="31" t="inlineStr">
        <is>
          <t>萩原清</t>
        </is>
      </c>
      <c r="Q219" s="31" t="inlineStr">
        <is>
          <t>9戦1勝</t>
        </is>
      </c>
      <c r="R219" s="31" t="n">
        <v>1</v>
      </c>
      <c r="S219" s="31" t="n">
        <v>0</v>
      </c>
      <c r="T219" s="31" t="n">
        <v>1110</v>
      </c>
      <c r="U219" s="31" t="n">
        <v>0</v>
      </c>
      <c r="V219" s="31" t="n">
        <v>0.22</v>
      </c>
      <c r="W219" s="31" t="n">
        <v>0</v>
      </c>
      <c r="X219" s="31" t="inlineStr">
        <is>
          <t>23'2歳未勝利--&gt;</t>
        </is>
      </c>
      <c r="Y219" s="31" t="n">
        <v>2</v>
      </c>
      <c r="Z219" s="31" t="inlineStr">
        <is>
          <t>牡・420kg+</t>
        </is>
      </c>
    </row>
    <row r="220" ht="15" customHeight="1" s="19">
      <c r="A220" s="31" t="n">
        <v>2022</v>
      </c>
      <c r="B220" s="31" t="n">
        <v>38</v>
      </c>
      <c r="C220" s="31" t="inlineStr">
        <is>
          <t>トップライナーⅡの2021</t>
        </is>
      </c>
      <c r="D220" s="31" t="inlineStr">
        <is>
          <t>ビートメイカー (Beatmaker)</t>
        </is>
      </c>
      <c r="E220" s="31" t="inlineStr">
        <is>
          <t>スワーヴリチャード</t>
        </is>
      </c>
      <c r="F220" s="31" t="inlineStr">
        <is>
          <t>メス</t>
        </is>
      </c>
      <c r="G220" s="31" t="n">
        <v>4</v>
      </c>
      <c r="H220" s="31" t="n">
        <v>19</v>
      </c>
      <c r="I220" s="31" t="n">
        <v>12</v>
      </c>
      <c r="J220" s="31" t="n">
        <v>2400</v>
      </c>
      <c r="K220" s="31" t="n">
        <v>410</v>
      </c>
      <c r="L220" s="31" t="n">
        <v>150</v>
      </c>
      <c r="M220" s="31" t="n">
        <v>173.5</v>
      </c>
      <c r="N220" s="31" t="n">
        <v>19</v>
      </c>
      <c r="O220" s="31" t="n">
        <v>400</v>
      </c>
      <c r="P220" s="31" t="inlineStr">
        <is>
          <t>大竹正博</t>
        </is>
      </c>
      <c r="Q220" s="31" t="inlineStr">
        <is>
          <t>5戦0勝</t>
        </is>
      </c>
      <c r="R220" s="31" t="n">
        <v>0</v>
      </c>
      <c r="S220" s="31" t="n">
        <v>0</v>
      </c>
      <c r="T220" s="31" t="n">
        <v>0</v>
      </c>
      <c r="U220" s="31" t="n">
        <v>0</v>
      </c>
      <c r="V220" s="31" t="n">
        <v>0</v>
      </c>
      <c r="W220" s="31" t="n">
        <v>0</v>
      </c>
      <c r="X220" s="31" t="inlineStr">
        <is>
          <t>--&gt;</t>
        </is>
      </c>
      <c r="Y220" s="31" t="n">
        <v>0</v>
      </c>
      <c r="Z220" s="31" t="inlineStr"/>
    </row>
    <row r="221" ht="15" customHeight="1" s="19">
      <c r="A221" s="31" t="n">
        <v>2022</v>
      </c>
      <c r="B221" s="31" t="n">
        <v>39</v>
      </c>
      <c r="C221" s="31" t="inlineStr">
        <is>
          <t>アンフィトリテⅡの2021</t>
        </is>
      </c>
      <c r="D221" s="31" t="inlineStr">
        <is>
          <t>トライデントスピア (Trident Spear)</t>
        </is>
      </c>
      <c r="E221" s="31" t="inlineStr">
        <is>
          <t>ダイワメジャー</t>
        </is>
      </c>
      <c r="F221" s="31" t="inlineStr">
        <is>
          <t>牡</t>
        </is>
      </c>
      <c r="G221" s="31" t="n">
        <v>2</v>
      </c>
      <c r="H221" s="31" t="n">
        <v>6</v>
      </c>
      <c r="I221" s="31" t="n">
        <v>1</v>
      </c>
      <c r="J221" s="31" t="n">
        <v>5000</v>
      </c>
      <c r="K221" s="31" t="n">
        <v>492</v>
      </c>
      <c r="L221" s="31" t="n">
        <v>158</v>
      </c>
      <c r="M221" s="31" t="n">
        <v>178</v>
      </c>
      <c r="N221" s="31" t="n">
        <v>20.5</v>
      </c>
      <c r="O221" s="31" t="n">
        <v>400</v>
      </c>
      <c r="P221" s="31" t="inlineStr">
        <is>
          <t>田中博康</t>
        </is>
      </c>
      <c r="Q221" s="31" t="inlineStr">
        <is>
          <t>8戦1勝</t>
        </is>
      </c>
      <c r="R221" s="31" t="n">
        <v>1</v>
      </c>
      <c r="S221" s="31" t="n">
        <v>0</v>
      </c>
      <c r="T221" s="31" t="n">
        <v>1700</v>
      </c>
      <c r="U221" s="31" t="n">
        <v>0</v>
      </c>
      <c r="V221" s="31" t="n">
        <v>0.34</v>
      </c>
      <c r="W221" s="31" t="n">
        <v>0</v>
      </c>
      <c r="X221" s="31" t="inlineStr">
        <is>
          <t>24'3歳未勝利--&gt;</t>
        </is>
      </c>
      <c r="Y221" s="31" t="n">
        <v>2</v>
      </c>
      <c r="Z221" s="31" t="inlineStr">
        <is>
          <t>牡・420kg+</t>
        </is>
      </c>
    </row>
    <row r="222" ht="15" customHeight="1" s="19">
      <c r="A222" s="31" t="n">
        <v>2022</v>
      </c>
      <c r="B222" s="31" t="n">
        <v>40</v>
      </c>
      <c r="C222" s="31" t="inlineStr">
        <is>
          <t>シンギングメリリーの2021</t>
        </is>
      </c>
      <c r="D222" s="31" t="inlineStr">
        <is>
          <t>フォルクスリート (Volkslied)</t>
        </is>
      </c>
      <c r="E222" s="31" t="inlineStr">
        <is>
          <t>ダイワメジャー</t>
        </is>
      </c>
      <c r="F222" s="31" t="inlineStr">
        <is>
          <t>メス</t>
        </is>
      </c>
      <c r="G222" s="31" t="n">
        <v>3</v>
      </c>
      <c r="H222" s="31" t="n">
        <v>6</v>
      </c>
      <c r="I222" s="31" t="n">
        <v>3</v>
      </c>
      <c r="J222" s="31" t="n">
        <v>2000</v>
      </c>
      <c r="K222" s="31" t="n">
        <v>486</v>
      </c>
      <c r="L222" s="31" t="n">
        <v>157</v>
      </c>
      <c r="M222" s="31" t="n">
        <v>178</v>
      </c>
      <c r="N222" s="31" t="n">
        <v>21.1</v>
      </c>
      <c r="O222" s="31" t="n">
        <v>400</v>
      </c>
      <c r="P222" s="31" t="inlineStr">
        <is>
          <t>矢野英一</t>
        </is>
      </c>
      <c r="Q222" s="31" t="inlineStr">
        <is>
          <t>14戦2勝</t>
        </is>
      </c>
      <c r="R222" s="31" t="n">
        <v>2</v>
      </c>
      <c r="S222" s="31" t="n">
        <v>0</v>
      </c>
      <c r="T222" s="31" t="n">
        <v>2365</v>
      </c>
      <c r="U222" s="31" t="n">
        <v>0</v>
      </c>
      <c r="V222" s="31" t="n">
        <v>1.18</v>
      </c>
      <c r="W222" s="31" t="n">
        <v>0</v>
      </c>
      <c r="X222" s="31" t="inlineStr">
        <is>
          <t>24'3歳以上1勝クラス24'3歳未勝利--&gt;</t>
        </is>
      </c>
      <c r="Y222" s="31" t="n">
        <v>1</v>
      </c>
      <c r="Z222" s="31" t="inlineStr">
        <is>
          <t>420kg+</t>
        </is>
      </c>
    </row>
    <row r="223" ht="15" customHeight="1" s="19">
      <c r="A223" s="31" t="n">
        <v>2022</v>
      </c>
      <c r="B223" s="31" t="n">
        <v>41</v>
      </c>
      <c r="C223" s="31" t="inlineStr">
        <is>
          <t>シークレットスパイスの2021</t>
        </is>
      </c>
      <c r="D223" s="31" t="inlineStr">
        <is>
          <t>クラッシファイド (Classified)</t>
        </is>
      </c>
      <c r="E223" s="31" t="inlineStr">
        <is>
          <t>リアルスティール</t>
        </is>
      </c>
      <c r="F223" s="31" t="inlineStr">
        <is>
          <t>牡</t>
        </is>
      </c>
      <c r="G223" s="31" t="n">
        <v>1</v>
      </c>
      <c r="H223" s="31" t="n">
        <v>6</v>
      </c>
      <c r="I223" s="31" t="n">
        <v>1</v>
      </c>
      <c r="J223" s="31" t="n">
        <v>4000</v>
      </c>
      <c r="K223" s="31" t="n">
        <v>433</v>
      </c>
      <c r="L223" s="31" t="n">
        <v>159</v>
      </c>
      <c r="M223" s="31" t="n">
        <v>172.5</v>
      </c>
      <c r="N223" s="31" t="n">
        <v>20.5</v>
      </c>
      <c r="O223" s="31" t="n">
        <v>400</v>
      </c>
      <c r="P223" s="31" t="inlineStr">
        <is>
          <t>黒岩陽一</t>
        </is>
      </c>
      <c r="Q223" s="31" t="inlineStr">
        <is>
          <t>12戦2勝</t>
        </is>
      </c>
      <c r="R223" s="31" t="n">
        <v>2</v>
      </c>
      <c r="S223" s="31" t="n">
        <v>0</v>
      </c>
      <c r="T223" s="31" t="n">
        <v>3125</v>
      </c>
      <c r="U223" s="31" t="n">
        <v>0</v>
      </c>
      <c r="V223" s="31" t="n">
        <v>0.78</v>
      </c>
      <c r="W223" s="31" t="n">
        <v>0</v>
      </c>
      <c r="X223" s="31" t="inlineStr">
        <is>
          <t>25'3歳以上1勝クラス23'2歳新馬--&gt;</t>
        </is>
      </c>
      <c r="Y223" s="31" t="n">
        <v>2</v>
      </c>
      <c r="Z223" s="31" t="inlineStr">
        <is>
          <t>牡・420kg+</t>
        </is>
      </c>
    </row>
    <row r="224" ht="15" customHeight="1" s="19">
      <c r="A224" s="31" t="n">
        <v>2022</v>
      </c>
      <c r="B224" s="31" t="n">
        <v>42</v>
      </c>
      <c r="C224" s="31" t="inlineStr">
        <is>
          <t>モアザンセイクリッドの2021</t>
        </is>
      </c>
      <c r="D224" s="31" t="inlineStr">
        <is>
          <t>ディヴァイネスト (Divinest)</t>
        </is>
      </c>
      <c r="E224" s="31" t="inlineStr">
        <is>
          <t>リアルスティール</t>
        </is>
      </c>
      <c r="F224" s="31" t="inlineStr">
        <is>
          <t>メス</t>
        </is>
      </c>
      <c r="G224" s="31" t="n">
        <v>5</v>
      </c>
      <c r="H224" s="31" t="n">
        <v>12</v>
      </c>
      <c r="I224" s="31" t="n">
        <v>6</v>
      </c>
      <c r="J224" s="31" t="n">
        <v>2000</v>
      </c>
      <c r="K224" s="31" t="n">
        <v>400</v>
      </c>
      <c r="L224" s="31" t="n">
        <v>156.5</v>
      </c>
      <c r="M224" s="31" t="n">
        <v>170</v>
      </c>
      <c r="N224" s="31" t="n">
        <v>18.7</v>
      </c>
      <c r="O224" s="31" t="n">
        <v>400</v>
      </c>
      <c r="P224" s="31" t="inlineStr">
        <is>
          <t>勢司和浩</t>
        </is>
      </c>
      <c r="Q224" s="31" t="inlineStr">
        <is>
          <t>5戦0勝</t>
        </is>
      </c>
      <c r="R224" s="31" t="n">
        <v>0</v>
      </c>
      <c r="S224" s="31" t="n">
        <v>0</v>
      </c>
      <c r="T224" s="31" t="n">
        <v>62</v>
      </c>
      <c r="U224" s="31" t="n">
        <v>0</v>
      </c>
      <c r="V224" s="31" t="n">
        <v>0.03</v>
      </c>
      <c r="W224" s="31" t="n">
        <v>0</v>
      </c>
      <c r="X224" s="31" t="inlineStr">
        <is>
          <t>--&gt;</t>
        </is>
      </c>
      <c r="Y224" s="31" t="n">
        <v>0</v>
      </c>
      <c r="Z224" s="31" t="inlineStr"/>
    </row>
    <row r="225" ht="15" customHeight="1" s="19">
      <c r="A225" s="31" t="n">
        <v>2022</v>
      </c>
      <c r="B225" s="31" t="n">
        <v>43</v>
      </c>
      <c r="C225" s="31" t="inlineStr">
        <is>
          <t>ビットレートの2021</t>
        </is>
      </c>
      <c r="D225" s="31" t="inlineStr">
        <is>
          <t>エクサビット (Exabit)</t>
        </is>
      </c>
      <c r="E225" s="31" t="inlineStr">
        <is>
          <t>ドレフォン</t>
        </is>
      </c>
      <c r="F225" s="31" t="inlineStr">
        <is>
          <t>メス</t>
        </is>
      </c>
      <c r="G225" s="31" t="n">
        <v>1</v>
      </c>
      <c r="H225" s="31" t="n">
        <v>9</v>
      </c>
      <c r="I225" s="31" t="n">
        <v>3</v>
      </c>
      <c r="J225" s="31" t="n">
        <v>2800</v>
      </c>
      <c r="K225" s="31" t="n">
        <v>489</v>
      </c>
      <c r="L225" s="31" t="n">
        <v>156</v>
      </c>
      <c r="M225" s="31" t="n">
        <v>180.5</v>
      </c>
      <c r="N225" s="31" t="n">
        <v>20</v>
      </c>
      <c r="O225" s="31" t="n">
        <v>400</v>
      </c>
      <c r="P225" s="31" t="inlineStr">
        <is>
          <t>萩原清</t>
        </is>
      </c>
      <c r="Q225" s="31" t="inlineStr">
        <is>
          <t>8戦0勝</t>
        </is>
      </c>
      <c r="R225" s="31" t="n">
        <v>0</v>
      </c>
      <c r="S225" s="31" t="n">
        <v>0</v>
      </c>
      <c r="T225" s="31" t="n">
        <v>1348</v>
      </c>
      <c r="U225" s="31" t="n">
        <v>0</v>
      </c>
      <c r="V225" s="31" t="n">
        <v>0.48</v>
      </c>
      <c r="W225" s="31" t="n">
        <v>0</v>
      </c>
      <c r="X225" s="31" t="inlineStr">
        <is>
          <t>--&gt;</t>
        </is>
      </c>
      <c r="Y225" s="31" t="n">
        <v>2</v>
      </c>
      <c r="Z225" s="31" t="inlineStr">
        <is>
          <t>価格帯・420kg+</t>
        </is>
      </c>
    </row>
    <row r="226" ht="15" customHeight="1" s="19">
      <c r="A226" s="31" t="n">
        <v>2022</v>
      </c>
      <c r="B226" s="31" t="n">
        <v>44</v>
      </c>
      <c r="C226" s="31" t="inlineStr">
        <is>
          <t>ウインジュビリーの2021</t>
        </is>
      </c>
      <c r="D226" s="31" t="inlineStr">
        <is>
          <t>コイヌール (Kohinoor)</t>
        </is>
      </c>
      <c r="E226" s="31" t="inlineStr">
        <is>
          <t>リオンディーズ</t>
        </is>
      </c>
      <c r="F226" s="31" t="inlineStr">
        <is>
          <t>牡</t>
        </is>
      </c>
      <c r="G226" s="31" t="n">
        <v>1</v>
      </c>
      <c r="H226" s="31" t="n">
        <v>13</v>
      </c>
      <c r="I226" s="31" t="n">
        <v>7</v>
      </c>
      <c r="J226" s="31" t="n">
        <v>3000</v>
      </c>
      <c r="K226" s="31" t="n">
        <v>448</v>
      </c>
      <c r="L226" s="31" t="n">
        <v>157</v>
      </c>
      <c r="M226" s="31" t="n">
        <v>173</v>
      </c>
      <c r="N226" s="31" t="n">
        <v>21</v>
      </c>
      <c r="O226" s="31" t="n">
        <v>400</v>
      </c>
      <c r="P226" s="31" t="inlineStr">
        <is>
          <t>鹿戸雄一</t>
        </is>
      </c>
      <c r="Q226" s="31" t="inlineStr">
        <is>
          <t>11戦1勝</t>
        </is>
      </c>
      <c r="R226" s="31" t="n">
        <v>1</v>
      </c>
      <c r="S226" s="31" t="n">
        <v>0</v>
      </c>
      <c r="T226" s="31" t="n">
        <v>924</v>
      </c>
      <c r="U226" s="31" t="n">
        <v>0</v>
      </c>
      <c r="V226" s="31" t="n">
        <v>0.31</v>
      </c>
      <c r="W226" s="31" t="n">
        <v>0</v>
      </c>
      <c r="X226" s="31" t="inlineStr">
        <is>
          <t>23'2歳未勝利--&gt;</t>
        </is>
      </c>
      <c r="Y226" s="31" t="n">
        <v>3</v>
      </c>
      <c r="Z226" s="31" t="inlineStr">
        <is>
          <t>牡・価格帯・420kg+</t>
        </is>
      </c>
    </row>
    <row r="227" ht="15" customHeight="1" s="19">
      <c r="A227" s="31" t="n">
        <v>2022</v>
      </c>
      <c r="B227" s="31" t="n">
        <v>45</v>
      </c>
      <c r="C227" s="31" t="inlineStr">
        <is>
          <t>コルコバードの2021</t>
        </is>
      </c>
      <c r="D227" s="31" t="inlineStr">
        <is>
          <t>ヘデントール (Redentor)</t>
        </is>
      </c>
      <c r="E227" s="31" t="inlineStr">
        <is>
          <t>ルーラーシップ</t>
        </is>
      </c>
      <c r="F227" s="31" t="inlineStr">
        <is>
          <t>牡</t>
        </is>
      </c>
      <c r="G227" s="31" t="n">
        <v>4</v>
      </c>
      <c r="H227" s="31" t="n">
        <v>8</v>
      </c>
      <c r="I227" s="31" t="n">
        <v>2</v>
      </c>
      <c r="J227" s="31" t="n">
        <v>3600</v>
      </c>
      <c r="K227" s="31" t="n">
        <v>444</v>
      </c>
      <c r="L227" s="31" t="n">
        <v>154</v>
      </c>
      <c r="M227" s="31" t="n">
        <v>173.5</v>
      </c>
      <c r="N227" s="31" t="n">
        <v>20</v>
      </c>
      <c r="O227" s="31" t="n">
        <v>400</v>
      </c>
      <c r="P227" s="31" t="inlineStr">
        <is>
          <t>木村哲也</t>
        </is>
      </c>
      <c r="Q227" s="31" t="inlineStr">
        <is>
          <t>11戦6勝</t>
        </is>
      </c>
      <c r="R227" s="31" t="n">
        <v>6</v>
      </c>
      <c r="S227" s="31" t="n">
        <v>0</v>
      </c>
      <c r="T227" s="31" t="n">
        <v>51610</v>
      </c>
      <c r="U227" s="31" t="n">
        <v>0</v>
      </c>
      <c r="V227" s="31" t="n">
        <v>14.34</v>
      </c>
      <c r="W227" s="31" t="n">
        <v>1</v>
      </c>
      <c r="X227" s="31" t="inlineStr">
        <is>
          <t>25'天皇賞(春)(G1)25'ダイヤモンドS(G3)--&gt;</t>
        </is>
      </c>
      <c r="Y227" s="31" t="n">
        <v>3</v>
      </c>
      <c r="Z227" s="31" t="inlineStr">
        <is>
          <t>牡・価格帯・420kg+</t>
        </is>
      </c>
    </row>
    <row r="228" ht="15" customHeight="1" s="19">
      <c r="A228" s="31" t="n">
        <v>2022</v>
      </c>
      <c r="B228" s="31" t="n">
        <v>46</v>
      </c>
      <c r="C228" s="31" t="inlineStr">
        <is>
          <t>ピースエンブレムの2021</t>
        </is>
      </c>
      <c r="D228" s="31" t="inlineStr">
        <is>
          <t>アージェント (Argent)</t>
        </is>
      </c>
      <c r="E228" s="31" t="inlineStr">
        <is>
          <t>シルバーステート</t>
        </is>
      </c>
      <c r="F228" s="31" t="inlineStr">
        <is>
          <t>牡</t>
        </is>
      </c>
      <c r="G228" s="31" t="n">
        <v>2</v>
      </c>
      <c r="H228" s="31" t="n">
        <v>15</v>
      </c>
      <c r="I228" s="31" t="n">
        <v>7</v>
      </c>
      <c r="J228" s="31" t="n">
        <v>4400</v>
      </c>
      <c r="K228" s="31" t="n">
        <v>510</v>
      </c>
      <c r="L228" s="31" t="n">
        <v>158.5</v>
      </c>
      <c r="M228" s="31" t="n">
        <v>183</v>
      </c>
      <c r="N228" s="31" t="n">
        <v>21.2</v>
      </c>
      <c r="O228" s="31" t="n">
        <v>400</v>
      </c>
      <c r="P228" s="31" t="inlineStr">
        <is>
          <t>宮田敬介</t>
        </is>
      </c>
      <c r="Q228" s="31" t="inlineStr">
        <is>
          <t>9戦3勝</t>
        </is>
      </c>
      <c r="R228" s="31" t="n">
        <v>1</v>
      </c>
      <c r="S228" s="31" t="n">
        <v>2</v>
      </c>
      <c r="T228" s="31" t="n">
        <v>1100</v>
      </c>
      <c r="U228" s="31" t="n">
        <v>80</v>
      </c>
      <c r="V228" s="31" t="n">
        <v>0.27</v>
      </c>
      <c r="W228" s="31" t="n">
        <v>0</v>
      </c>
      <c r="X228" s="31" t="inlineStr">
        <is>
          <t>25'4歳以上1勝クラスC2十一組--&gt;</t>
        </is>
      </c>
      <c r="Y228" s="31" t="n">
        <v>2</v>
      </c>
      <c r="Z228" s="31" t="inlineStr">
        <is>
          <t>牡・420kg+</t>
        </is>
      </c>
    </row>
    <row r="229" ht="15" customHeight="1" s="19">
      <c r="A229" s="31" t="n">
        <v>2022</v>
      </c>
      <c r="B229" s="31" t="n">
        <v>47</v>
      </c>
      <c r="C229" s="31" t="inlineStr">
        <is>
          <t>ティンバレスの2021</t>
        </is>
      </c>
      <c r="D229" s="31" t="inlineStr">
        <is>
          <t>リムショット (Rimshot)</t>
        </is>
      </c>
      <c r="E229" s="31" t="inlineStr">
        <is>
          <t>ヘニーヒューズ</t>
        </is>
      </c>
      <c r="F229" s="31" t="inlineStr">
        <is>
          <t>牡</t>
        </is>
      </c>
      <c r="G229" s="31" t="n">
        <v>2</v>
      </c>
      <c r="H229" s="31" t="n">
        <v>9</v>
      </c>
      <c r="I229" s="31" t="n">
        <v>3</v>
      </c>
      <c r="J229" s="31" t="n">
        <v>3000</v>
      </c>
      <c r="K229" s="31" t="n">
        <v>502</v>
      </c>
      <c r="L229" s="31" t="n">
        <v>159</v>
      </c>
      <c r="M229" s="31" t="n">
        <v>177</v>
      </c>
      <c r="N229" s="31" t="n">
        <v>20.7</v>
      </c>
      <c r="O229" s="31" t="n">
        <v>400</v>
      </c>
      <c r="P229" s="31" t="inlineStr">
        <is>
          <t>中川公成</t>
        </is>
      </c>
      <c r="Q229" s="31" t="inlineStr">
        <is>
          <t>25戦3勝</t>
        </is>
      </c>
      <c r="R229" s="31" t="n">
        <v>0</v>
      </c>
      <c r="S229" s="31" t="n">
        <v>3</v>
      </c>
      <c r="T229" s="31" t="n">
        <v>0</v>
      </c>
      <c r="U229" s="31" t="n">
        <v>345</v>
      </c>
      <c r="V229" s="31" t="n">
        <v>0.12</v>
      </c>
      <c r="W229" s="31" t="n">
        <v>0</v>
      </c>
      <c r="X229" s="31" t="inlineStr">
        <is>
          <t>3歳以上C4ー23歳以上C3ー2C4ー1--&gt;</t>
        </is>
      </c>
      <c r="Y229" s="31" t="n">
        <v>3</v>
      </c>
      <c r="Z229" s="31" t="inlineStr">
        <is>
          <t>牡・価格帯・420kg+</t>
        </is>
      </c>
    </row>
    <row r="230" ht="15" customHeight="1" s="19">
      <c r="A230" s="31" t="n">
        <v>2022</v>
      </c>
      <c r="B230" s="31" t="n">
        <v>48</v>
      </c>
      <c r="C230" s="31" t="inlineStr">
        <is>
          <t>バイラオーラの2021</t>
        </is>
      </c>
      <c r="D230" s="31" t="inlineStr">
        <is>
          <t>アシセバイラ (Asi se Baila)</t>
        </is>
      </c>
      <c r="E230" s="31" t="inlineStr">
        <is>
          <t>マインドユアビスケッツ</t>
        </is>
      </c>
      <c r="F230" s="31" t="inlineStr">
        <is>
          <t>メス</t>
        </is>
      </c>
      <c r="G230" s="31" t="n">
        <v>1</v>
      </c>
      <c r="H230" s="31" t="n">
        <v>15</v>
      </c>
      <c r="I230" s="31" t="n">
        <v>9</v>
      </c>
      <c r="J230" s="31" t="n">
        <v>1600</v>
      </c>
      <c r="K230" s="31" t="n">
        <v>478</v>
      </c>
      <c r="L230" s="31" t="n">
        <v>155</v>
      </c>
      <c r="M230" s="31" t="n">
        <v>180</v>
      </c>
      <c r="N230" s="31" t="n">
        <v>19</v>
      </c>
      <c r="O230" s="31" t="n">
        <v>400</v>
      </c>
      <c r="P230" s="31" t="inlineStr">
        <is>
          <t>辻哲英</t>
        </is>
      </c>
      <c r="Q230" s="31" t="inlineStr">
        <is>
          <t>25戦1勝</t>
        </is>
      </c>
      <c r="R230" s="31" t="n">
        <v>1</v>
      </c>
      <c r="S230" s="31" t="n">
        <v>0</v>
      </c>
      <c r="T230" s="31" t="n">
        <v>657</v>
      </c>
      <c r="U230" s="31" t="n">
        <v>346</v>
      </c>
      <c r="V230" s="31" t="n">
        <v>0.63</v>
      </c>
      <c r="W230" s="31" t="n">
        <v>0</v>
      </c>
      <c r="X230" s="31" t="inlineStr">
        <is>
          <t>23'2歳未勝利--&gt;</t>
        </is>
      </c>
      <c r="Y230" s="31" t="n">
        <v>1</v>
      </c>
      <c r="Z230" s="31" t="inlineStr">
        <is>
          <t>420kg+</t>
        </is>
      </c>
    </row>
    <row r="231" ht="15" customHeight="1" s="19">
      <c r="A231" s="31" t="n">
        <v>2022</v>
      </c>
      <c r="B231" s="31" t="n">
        <v>49</v>
      </c>
      <c r="C231" s="31" t="inlineStr">
        <is>
          <t>ヒルダの2021</t>
        </is>
      </c>
      <c r="D231" s="31" t="inlineStr">
        <is>
          <t>ヴェルトラウム (Weltraum)</t>
        </is>
      </c>
      <c r="E231" s="31" t="inlineStr">
        <is>
          <t>ミッキーロケット</t>
        </is>
      </c>
      <c r="F231" s="31" t="inlineStr">
        <is>
          <t>牡</t>
        </is>
      </c>
      <c r="G231" s="31" t="n">
        <v>4</v>
      </c>
      <c r="H231" s="31" t="n">
        <v>8</v>
      </c>
      <c r="I231" s="31" t="n">
        <v>2</v>
      </c>
      <c r="J231" s="31" t="n">
        <v>2000</v>
      </c>
      <c r="K231" s="31" t="n">
        <v>413</v>
      </c>
      <c r="L231" s="31" t="n">
        <v>145.5</v>
      </c>
      <c r="M231" s="31" t="n">
        <v>167</v>
      </c>
      <c r="N231" s="31" t="n">
        <v>19</v>
      </c>
      <c r="O231" s="31" t="n">
        <v>400</v>
      </c>
      <c r="P231" s="31" t="inlineStr">
        <is>
          <t>西田雄一郎</t>
        </is>
      </c>
      <c r="Q231" s="31" t="inlineStr">
        <is>
          <t>15戦2勝</t>
        </is>
      </c>
      <c r="R231" s="31" t="n">
        <v>2</v>
      </c>
      <c r="S231" s="31" t="n">
        <v>0</v>
      </c>
      <c r="T231" s="31" t="n">
        <v>2125</v>
      </c>
      <c r="U231" s="31" t="n">
        <v>0</v>
      </c>
      <c r="V231" s="31" t="n">
        <v>1.06</v>
      </c>
      <c r="W231" s="31" t="n">
        <v>0</v>
      </c>
      <c r="X231" s="31" t="inlineStr">
        <is>
          <t>25'4歳以上1勝クラス23'2歳新馬--&gt;</t>
        </is>
      </c>
      <c r="Y231" s="31" t="n">
        <v>1</v>
      </c>
      <c r="Z231" s="31" t="inlineStr">
        <is>
          <t>牡</t>
        </is>
      </c>
    </row>
    <row r="232" ht="15" customHeight="1" s="19">
      <c r="A232" s="31" t="n">
        <v>2022</v>
      </c>
      <c r="B232" s="31" t="n">
        <v>50</v>
      </c>
      <c r="C232" s="31" t="inlineStr">
        <is>
          <t>キャントバイミーラヴの2021</t>
        </is>
      </c>
      <c r="D232" s="31" t="inlineStr">
        <is>
          <t>アンドアイラヴハー (And I Love Her)</t>
        </is>
      </c>
      <c r="E232" s="31" t="inlineStr">
        <is>
          <t>No Nay Never</t>
        </is>
      </c>
      <c r="F232" s="31" t="inlineStr">
        <is>
          <t>メス</t>
        </is>
      </c>
      <c r="G232" s="31" t="n">
        <v>2</v>
      </c>
      <c r="H232" s="31" t="n">
        <v>5</v>
      </c>
      <c r="I232" s="31" t="n">
        <v>1</v>
      </c>
      <c r="J232" s="31" t="n">
        <v>3000</v>
      </c>
      <c r="K232" s="31" t="n">
        <v>455</v>
      </c>
      <c r="L232" s="31" t="n">
        <v>152.5</v>
      </c>
      <c r="M232" s="31" t="n">
        <v>179</v>
      </c>
      <c r="N232" s="31" t="n">
        <v>20</v>
      </c>
      <c r="O232" s="31" t="n">
        <v>400</v>
      </c>
      <c r="P232" s="31" t="inlineStr">
        <is>
          <t>田村康仁</t>
        </is>
      </c>
      <c r="Q232" s="31" t="inlineStr">
        <is>
          <t>13戦3勝</t>
        </is>
      </c>
      <c r="R232" s="31" t="n">
        <v>3</v>
      </c>
      <c r="S232" s="31" t="n">
        <v>0</v>
      </c>
      <c r="T232" s="31" t="n">
        <v>4395</v>
      </c>
      <c r="U232" s="31" t="n">
        <v>0</v>
      </c>
      <c r="V232" s="31" t="n">
        <v>1.47</v>
      </c>
      <c r="W232" s="31" t="n">
        <v>0</v>
      </c>
      <c r="X232" s="31" t="inlineStr">
        <is>
          <t>25'3歳以上2勝クラス25'4歳以上1勝クラス--&gt;</t>
        </is>
      </c>
      <c r="Y232" s="31" t="n">
        <v>2</v>
      </c>
      <c r="Z232" s="31" t="inlineStr">
        <is>
          <t>価格帯・420kg+</t>
        </is>
      </c>
    </row>
    <row r="233" ht="15" customHeight="1" s="19">
      <c r="A233" s="31" t="n">
        <v>2022</v>
      </c>
      <c r="B233" s="31" t="n">
        <v>51</v>
      </c>
      <c r="C233" s="31" t="inlineStr">
        <is>
          <t>リラヴァティの2021</t>
        </is>
      </c>
      <c r="D233" s="31" t="inlineStr">
        <is>
          <t>ワールズエンド (World's End)</t>
        </is>
      </c>
      <c r="E233" s="31" t="inlineStr">
        <is>
          <t>ロードカナロア</t>
        </is>
      </c>
      <c r="F233" s="31" t="inlineStr">
        <is>
          <t>牡</t>
        </is>
      </c>
      <c r="G233" s="31" t="n">
        <v>2</v>
      </c>
      <c r="H233" s="31" t="n">
        <v>10</v>
      </c>
      <c r="I233" s="31" t="n">
        <v>4</v>
      </c>
      <c r="J233" s="31" t="n">
        <v>7000</v>
      </c>
      <c r="K233" s="31" t="n">
        <v>426</v>
      </c>
      <c r="L233" s="31" t="n">
        <v>152</v>
      </c>
      <c r="M233" s="31" t="n">
        <v>169.5</v>
      </c>
      <c r="N233" s="31" t="n">
        <v>19.4</v>
      </c>
      <c r="O233" s="31" t="n">
        <v>400</v>
      </c>
      <c r="P233" s="31" t="inlineStr">
        <is>
          <t>池添学</t>
        </is>
      </c>
      <c r="Q233" s="31" t="inlineStr">
        <is>
          <t>11戦5勝</t>
        </is>
      </c>
      <c r="R233" s="31" t="n">
        <v>5</v>
      </c>
      <c r="S233" s="31" t="n">
        <v>0</v>
      </c>
      <c r="T233" s="31" t="n">
        <v>19900</v>
      </c>
      <c r="U233" s="31" t="n">
        <v>0</v>
      </c>
      <c r="V233" s="31" t="n">
        <v>2.84</v>
      </c>
      <c r="W233" s="31" t="n">
        <v>1</v>
      </c>
      <c r="X233" s="31" t="inlineStr">
        <is>
          <t>26'京王杯スプリングC(G2)25'新潟日報賞(3勝クラス)--&gt;</t>
        </is>
      </c>
      <c r="Y233" s="31" t="n">
        <v>2</v>
      </c>
      <c r="Z233" s="31" t="inlineStr">
        <is>
          <t>牡・420kg+</t>
        </is>
      </c>
    </row>
    <row r="234" ht="15" customHeight="1" s="19">
      <c r="A234" s="31" t="n">
        <v>2022</v>
      </c>
      <c r="B234" s="31" t="n">
        <v>52</v>
      </c>
      <c r="C234" s="31" t="inlineStr">
        <is>
          <t>エリティエールの2021</t>
        </is>
      </c>
      <c r="D234" s="31" t="inlineStr">
        <is>
          <t>フルリール (Fleurir)</t>
        </is>
      </c>
      <c r="E234" s="31" t="inlineStr">
        <is>
          <t>ロードカナロア</t>
        </is>
      </c>
      <c r="F234" s="31" t="inlineStr">
        <is>
          <t>メス</t>
        </is>
      </c>
      <c r="G234" s="31" t="n">
        <v>2</v>
      </c>
      <c r="H234" s="31" t="n">
        <v>7</v>
      </c>
      <c r="I234" s="31" t="n">
        <v>1</v>
      </c>
      <c r="J234" s="31" t="n">
        <v>4000</v>
      </c>
      <c r="K234" s="31" t="n">
        <v>401</v>
      </c>
      <c r="L234" s="31" t="n">
        <v>152</v>
      </c>
      <c r="M234" s="31" t="n">
        <v>172</v>
      </c>
      <c r="N234" s="31" t="n">
        <v>19.1</v>
      </c>
      <c r="O234" s="31" t="n">
        <v>400</v>
      </c>
      <c r="P234" s="31" t="inlineStr">
        <is>
          <t>藤岡健一</t>
        </is>
      </c>
      <c r="Q234" s="31" t="inlineStr">
        <is>
          <t>26戦2勝</t>
        </is>
      </c>
      <c r="R234" s="31" t="n">
        <v>0</v>
      </c>
      <c r="S234" s="31" t="n">
        <v>2</v>
      </c>
      <c r="T234" s="31" t="n">
        <v>278</v>
      </c>
      <c r="U234" s="31" t="n">
        <v>337</v>
      </c>
      <c r="V234" s="31" t="n">
        <v>0.15</v>
      </c>
      <c r="W234" s="31" t="n">
        <v>0</v>
      </c>
      <c r="X234" s="31" t="inlineStr">
        <is>
          <t>C2二C1二--&gt;</t>
        </is>
      </c>
      <c r="Y234" s="31" t="n">
        <v>0</v>
      </c>
      <c r="Z234" s="31" t="inlineStr"/>
    </row>
    <row r="235" ht="15" customHeight="1" s="19">
      <c r="A235" s="31" t="n">
        <v>2022</v>
      </c>
      <c r="B235" s="31" t="n">
        <v>53</v>
      </c>
      <c r="C235" s="31" t="inlineStr">
        <is>
          <t>バウンスシャッセの2021</t>
        </is>
      </c>
      <c r="D235" s="31" t="inlineStr">
        <is>
          <t>リルト (Lilt)</t>
        </is>
      </c>
      <c r="E235" s="31" t="inlineStr">
        <is>
          <t>ロードカナロア</t>
        </is>
      </c>
      <c r="F235" s="31" t="inlineStr">
        <is>
          <t>メス</t>
        </is>
      </c>
      <c r="G235" s="31" t="n">
        <v>3</v>
      </c>
      <c r="H235" s="31" t="n">
        <v>10</v>
      </c>
      <c r="I235" s="31" t="n">
        <v>4</v>
      </c>
      <c r="J235" s="31" t="n">
        <v>5000</v>
      </c>
      <c r="K235" s="31" t="n">
        <v>453</v>
      </c>
      <c r="L235" s="31" t="n">
        <v>158</v>
      </c>
      <c r="M235" s="31" t="n">
        <v>176.5</v>
      </c>
      <c r="N235" s="31" t="n">
        <v>20.6</v>
      </c>
      <c r="O235" s="31" t="n">
        <v>400</v>
      </c>
      <c r="P235" s="31" t="inlineStr">
        <is>
          <t>安田隆行</t>
        </is>
      </c>
      <c r="Q235" s="31" t="inlineStr">
        <is>
          <t>4戦0勝</t>
        </is>
      </c>
      <c r="R235" s="31" t="n">
        <v>0</v>
      </c>
      <c r="S235" s="31" t="n">
        <v>0</v>
      </c>
      <c r="T235" s="31" t="n">
        <v>0</v>
      </c>
      <c r="U235" s="31" t="n">
        <v>0</v>
      </c>
      <c r="V235" s="31" t="n">
        <v>0</v>
      </c>
      <c r="W235" s="31" t="n">
        <v>0</v>
      </c>
      <c r="X235" s="31" t="inlineStr">
        <is>
          <t>--&gt;</t>
        </is>
      </c>
      <c r="Y235" s="31" t="n">
        <v>1</v>
      </c>
      <c r="Z235" s="31" t="inlineStr">
        <is>
          <t>420kg+</t>
        </is>
      </c>
    </row>
    <row r="236" ht="15" customHeight="1" s="19">
      <c r="A236" s="31" t="n">
        <v>2022</v>
      </c>
      <c r="B236" s="31" t="n">
        <v>54</v>
      </c>
      <c r="C236" s="31" t="inlineStr">
        <is>
          <t>トータルヒートの2021</t>
        </is>
      </c>
      <c r="D236" s="31" t="inlineStr">
        <is>
          <t>ファーヴェント (Fervent)</t>
        </is>
      </c>
      <c r="E236" s="31" t="inlineStr">
        <is>
          <t>ハーツクライ</t>
        </is>
      </c>
      <c r="F236" s="31" t="inlineStr">
        <is>
          <t>牡</t>
        </is>
      </c>
      <c r="G236" s="31" t="n">
        <v>2</v>
      </c>
      <c r="H236" s="31" t="n">
        <v>10</v>
      </c>
      <c r="I236" s="31" t="n">
        <v>4</v>
      </c>
      <c r="J236" s="31" t="n">
        <v>7000</v>
      </c>
      <c r="K236" s="31" t="n">
        <v>475</v>
      </c>
      <c r="L236" s="31" t="n">
        <v>153</v>
      </c>
      <c r="M236" s="31" t="n">
        <v>176</v>
      </c>
      <c r="N236" s="31" t="n">
        <v>21.4</v>
      </c>
      <c r="O236" s="31" t="n">
        <v>400</v>
      </c>
      <c r="P236" s="31" t="inlineStr">
        <is>
          <t>藤原英昭</t>
        </is>
      </c>
      <c r="Q236" s="31" t="inlineStr">
        <is>
          <t>18戦4勝</t>
        </is>
      </c>
      <c r="R236" s="31" t="n">
        <v>4</v>
      </c>
      <c r="S236" s="31" t="n">
        <v>0</v>
      </c>
      <c r="T236" s="31" t="n">
        <v>10767</v>
      </c>
      <c r="U236" s="31" t="n">
        <v>0</v>
      </c>
      <c r="V236" s="31" t="n">
        <v>1.54</v>
      </c>
      <c r="W236" s="31" t="n">
        <v>0</v>
      </c>
      <c r="X236" s="31" t="inlineStr">
        <is>
          <t>25'長岡S(3勝クラス)25'4歳以上2勝クラス--&gt;</t>
        </is>
      </c>
      <c r="Y236" s="31" t="n">
        <v>2</v>
      </c>
      <c r="Z236" s="31" t="inlineStr">
        <is>
          <t>牡・420kg+</t>
        </is>
      </c>
    </row>
    <row r="237" ht="15" customHeight="1" s="19">
      <c r="A237" s="31" t="n">
        <v>2022</v>
      </c>
      <c r="B237" s="31" t="n">
        <v>55</v>
      </c>
      <c r="C237" s="31" t="inlineStr">
        <is>
          <t>リリサイドの2021</t>
        </is>
      </c>
      <c r="D237" s="31" t="inlineStr">
        <is>
          <t>エボルヴィング (Evolving)</t>
        </is>
      </c>
      <c r="E237" s="31" t="inlineStr">
        <is>
          <t>ハーツクライ</t>
        </is>
      </c>
      <c r="F237" s="31" t="inlineStr">
        <is>
          <t>牡</t>
        </is>
      </c>
      <c r="G237" s="31" t="n">
        <v>3</v>
      </c>
      <c r="H237" s="31" t="n">
        <v>14</v>
      </c>
      <c r="I237" s="31" t="n">
        <v>10</v>
      </c>
      <c r="J237" s="31" t="n">
        <v>10000</v>
      </c>
      <c r="K237" s="31" t="n">
        <v>442</v>
      </c>
      <c r="L237" s="31" t="n">
        <v>152.5</v>
      </c>
      <c r="M237" s="31" t="n">
        <v>171.5</v>
      </c>
      <c r="N237" s="31" t="n">
        <v>20</v>
      </c>
      <c r="O237" s="31" t="n">
        <v>400</v>
      </c>
      <c r="P237" s="31" t="inlineStr">
        <is>
          <t>藤原英昭</t>
        </is>
      </c>
      <c r="Q237" s="31" t="inlineStr">
        <is>
          <t>15戦2勝</t>
        </is>
      </c>
      <c r="R237" s="31" t="n">
        <v>2</v>
      </c>
      <c r="S237" s="31" t="n">
        <v>0</v>
      </c>
      <c r="T237" s="31" t="n">
        <v>2873</v>
      </c>
      <c r="U237" s="31" t="n">
        <v>0</v>
      </c>
      <c r="V237" s="31" t="n">
        <v>0.29</v>
      </c>
      <c r="W237" s="31" t="n">
        <v>0</v>
      </c>
      <c r="X237" s="31" t="inlineStr">
        <is>
          <t>26'4歳以上1勝クラス24'3歳未勝利--&gt;</t>
        </is>
      </c>
      <c r="Y237" s="31" t="n">
        <v>2</v>
      </c>
      <c r="Z237" s="31" t="inlineStr">
        <is>
          <t>牡・420kg+</t>
        </is>
      </c>
    </row>
    <row r="238" ht="15" customHeight="1" s="19">
      <c r="A238" s="31" t="n">
        <v>2022</v>
      </c>
      <c r="B238" s="31" t="n">
        <v>56</v>
      </c>
      <c r="C238" s="31" t="inlineStr">
        <is>
          <t>アルアリングスターの2021</t>
        </is>
      </c>
      <c r="D238" s="31" t="inlineStr">
        <is>
          <t>ルシフェル (Lucifer)</t>
        </is>
      </c>
      <c r="E238" s="31" t="inlineStr">
        <is>
          <t>ハーツクライ</t>
        </is>
      </c>
      <c r="F238" s="31" t="inlineStr">
        <is>
          <t>メス</t>
        </is>
      </c>
      <c r="G238" s="31" t="n">
        <v>4</v>
      </c>
      <c r="H238" s="31" t="n">
        <v>6</v>
      </c>
      <c r="I238" s="31" t="n">
        <v>3</v>
      </c>
      <c r="J238" s="31" t="n">
        <v>5000</v>
      </c>
      <c r="K238" s="31" t="n">
        <v>453</v>
      </c>
      <c r="L238" s="31" t="n">
        <v>153</v>
      </c>
      <c r="M238" s="31" t="n">
        <v>175</v>
      </c>
      <c r="N238" s="31" t="n">
        <v>20</v>
      </c>
      <c r="O238" s="31" t="n">
        <v>400</v>
      </c>
      <c r="P238" s="31" t="inlineStr">
        <is>
          <t>斉藤崇史</t>
        </is>
      </c>
      <c r="Q238" s="31" t="inlineStr">
        <is>
          <t>15戦2勝</t>
        </is>
      </c>
      <c r="R238" s="31" t="n">
        <v>2</v>
      </c>
      <c r="S238" s="31" t="n">
        <v>0</v>
      </c>
      <c r="T238" s="31" t="n">
        <v>3963</v>
      </c>
      <c r="U238" s="31" t="n">
        <v>0</v>
      </c>
      <c r="V238" s="31" t="n">
        <v>0.79</v>
      </c>
      <c r="W238" s="31" t="n">
        <v>0</v>
      </c>
      <c r="X238" s="31" t="inlineStr">
        <is>
          <t>23'萩S(L)23'2歳未勝利--&gt;</t>
        </is>
      </c>
      <c r="Y238" s="31" t="n">
        <v>1</v>
      </c>
      <c r="Z238" s="31" t="inlineStr">
        <is>
          <t>420kg+</t>
        </is>
      </c>
    </row>
    <row r="239" ht="15" customHeight="1" s="19">
      <c r="A239" s="31" t="n">
        <v>2022</v>
      </c>
      <c r="B239" s="31" t="n">
        <v>57</v>
      </c>
      <c r="C239" s="31" t="inlineStr">
        <is>
          <t>サトノオニキスの2021</t>
        </is>
      </c>
      <c r="D239" s="31" t="inlineStr">
        <is>
          <t>ブラックルチル (Black Rutile)</t>
        </is>
      </c>
      <c r="E239" s="31" t="inlineStr">
        <is>
          <t>エピファネイア</t>
        </is>
      </c>
      <c r="F239" s="31" t="inlineStr">
        <is>
          <t>牡</t>
        </is>
      </c>
      <c r="G239" s="31" t="n">
        <v>2</v>
      </c>
      <c r="H239" s="31" t="n">
        <v>8</v>
      </c>
      <c r="I239" s="31" t="n">
        <v>2</v>
      </c>
      <c r="J239" s="31" t="n">
        <v>5000</v>
      </c>
      <c r="K239" s="31" t="n">
        <v>442</v>
      </c>
      <c r="L239" s="31" t="n">
        <v>156.5</v>
      </c>
      <c r="M239" s="31" t="n">
        <v>177</v>
      </c>
      <c r="N239" s="31" t="n">
        <v>20</v>
      </c>
      <c r="O239" s="31" t="n">
        <v>400</v>
      </c>
      <c r="P239" s="31" t="inlineStr">
        <is>
          <t>池江泰寿</t>
        </is>
      </c>
      <c r="Q239" s="31" t="inlineStr">
        <is>
          <t>6戦0勝</t>
        </is>
      </c>
      <c r="R239" s="31" t="n">
        <v>0</v>
      </c>
      <c r="S239" s="31" t="n">
        <v>0</v>
      </c>
      <c r="T239" s="31" t="n">
        <v>688</v>
      </c>
      <c r="U239" s="31" t="n">
        <v>0</v>
      </c>
      <c r="V239" s="31" t="n">
        <v>0.14</v>
      </c>
      <c r="W239" s="31" t="n">
        <v>0</v>
      </c>
      <c r="X239" s="31" t="inlineStr">
        <is>
          <t>--&gt;</t>
        </is>
      </c>
      <c r="Y239" s="31" t="n">
        <v>2</v>
      </c>
      <c r="Z239" s="31" t="inlineStr">
        <is>
          <t>牡・420kg+</t>
        </is>
      </c>
    </row>
    <row r="240" ht="15" customHeight="1" s="19">
      <c r="A240" s="31" t="n">
        <v>2022</v>
      </c>
      <c r="B240" s="31" t="n">
        <v>58</v>
      </c>
      <c r="C240" s="31" t="inlineStr">
        <is>
          <t>レーヴドゥラメールの2021</t>
        </is>
      </c>
      <c r="D240" s="31" t="inlineStr">
        <is>
          <t>レアリゼアンレーヴ (Realiser un Reve)</t>
        </is>
      </c>
      <c r="E240" s="31" t="inlineStr">
        <is>
          <t>エピファネイア</t>
        </is>
      </c>
      <c r="F240" s="31" t="inlineStr">
        <is>
          <t>メス</t>
        </is>
      </c>
      <c r="G240" s="31" t="n">
        <v>1</v>
      </c>
      <c r="H240" s="31" t="n">
        <v>5</v>
      </c>
      <c r="I240" s="31" t="n">
        <v>2</v>
      </c>
      <c r="J240" s="31" t="n">
        <v>4000</v>
      </c>
      <c r="K240" s="31" t="n">
        <v>425</v>
      </c>
      <c r="L240" s="31" t="n">
        <v>150.5</v>
      </c>
      <c r="M240" s="31" t="n">
        <v>172</v>
      </c>
      <c r="N240" s="31" t="n">
        <v>20</v>
      </c>
      <c r="O240" s="31" t="n">
        <v>400</v>
      </c>
      <c r="P240" s="31" t="inlineStr">
        <is>
          <t>須貝尚介</t>
        </is>
      </c>
      <c r="Q240" s="31" t="inlineStr">
        <is>
          <t>21戦1勝</t>
        </is>
      </c>
      <c r="R240" s="31" t="n">
        <v>1</v>
      </c>
      <c r="S240" s="31" t="n">
        <v>0</v>
      </c>
      <c r="T240" s="31" t="n">
        <v>720</v>
      </c>
      <c r="U240" s="31" t="n">
        <v>12</v>
      </c>
      <c r="V240" s="31" t="n">
        <v>0.18</v>
      </c>
      <c r="W240" s="31" t="n">
        <v>0</v>
      </c>
      <c r="X240" s="31" t="inlineStr">
        <is>
          <t>23'2歳新馬--&gt;</t>
        </is>
      </c>
      <c r="Y240" s="31" t="n">
        <v>1</v>
      </c>
      <c r="Z240" s="31" t="inlineStr">
        <is>
          <t>420kg+</t>
        </is>
      </c>
    </row>
    <row r="241" ht="15" customHeight="1" s="19">
      <c r="A241" s="31" t="n">
        <v>2022</v>
      </c>
      <c r="B241" s="31" t="n">
        <v>59</v>
      </c>
      <c r="C241" s="31" t="inlineStr">
        <is>
          <t>シンハリーズの2021</t>
        </is>
      </c>
      <c r="D241" s="31" t="inlineStr">
        <is>
          <t>ナインストーンズ (Nine Stones)</t>
        </is>
      </c>
      <c r="E241" s="31" t="inlineStr">
        <is>
          <t>キズナ</t>
        </is>
      </c>
      <c r="F241" s="31" t="inlineStr">
        <is>
          <t>牡</t>
        </is>
      </c>
      <c r="G241" s="31" t="n">
        <v>3</v>
      </c>
      <c r="H241" s="31" t="n">
        <v>19</v>
      </c>
      <c r="I241" s="31" t="n">
        <v>13</v>
      </c>
      <c r="J241" s="31" t="n">
        <v>6000</v>
      </c>
      <c r="K241" s="31" t="n">
        <v>420</v>
      </c>
      <c r="L241" s="31" t="n">
        <v>150</v>
      </c>
      <c r="M241" s="31" t="n">
        <v>169</v>
      </c>
      <c r="N241" s="31" t="n">
        <v>20.1</v>
      </c>
      <c r="O241" s="31" t="n">
        <v>400</v>
      </c>
      <c r="P241" s="31" t="inlineStr">
        <is>
          <t>池添学</t>
        </is>
      </c>
      <c r="Q241" s="31" t="inlineStr">
        <is>
          <t>7戦0勝</t>
        </is>
      </c>
      <c r="R241" s="31" t="n">
        <v>0</v>
      </c>
      <c r="S241" s="31" t="n">
        <v>0</v>
      </c>
      <c r="T241" s="31" t="n">
        <v>140</v>
      </c>
      <c r="U241" s="31" t="n">
        <v>85</v>
      </c>
      <c r="V241" s="31" t="n">
        <v>0.04</v>
      </c>
      <c r="W241" s="31" t="n">
        <v>0</v>
      </c>
      <c r="X241" s="31" t="inlineStr">
        <is>
          <t>--&gt;</t>
        </is>
      </c>
      <c r="Y241" s="31" t="n">
        <v>2</v>
      </c>
      <c r="Z241" s="31" t="inlineStr">
        <is>
          <t>牡・420kg+</t>
        </is>
      </c>
    </row>
    <row r="242" ht="15" customHeight="1" s="19">
      <c r="A242" s="31" t="n">
        <v>2022</v>
      </c>
      <c r="B242" s="31" t="n">
        <v>60</v>
      </c>
      <c r="C242" s="31" t="inlineStr">
        <is>
          <t>マンビアの2021</t>
        </is>
      </c>
      <c r="D242" s="31" t="inlineStr">
        <is>
          <t>レザンクレール (Raisins Clairs)</t>
        </is>
      </c>
      <c r="E242" s="31" t="inlineStr">
        <is>
          <t>キズナ</t>
        </is>
      </c>
      <c r="F242" s="31" t="inlineStr">
        <is>
          <t>メス</t>
        </is>
      </c>
      <c r="G242" s="31" t="n">
        <v>4</v>
      </c>
      <c r="H242" s="31" t="n">
        <v>13</v>
      </c>
      <c r="I242" s="31" t="n">
        <v>8</v>
      </c>
      <c r="J242" s="31" t="n">
        <v>3000</v>
      </c>
      <c r="K242" s="31" t="n">
        <v>396</v>
      </c>
      <c r="L242" s="31" t="n">
        <v>151</v>
      </c>
      <c r="M242" s="31" t="n">
        <v>172</v>
      </c>
      <c r="N242" s="31" t="n">
        <v>20.2</v>
      </c>
      <c r="O242" s="31" t="n">
        <v>400</v>
      </c>
      <c r="P242" s="31" t="inlineStr">
        <is>
          <t>西村真幸</t>
        </is>
      </c>
      <c r="Q242" s="31" t="inlineStr">
        <is>
          <t>12戦1勝</t>
        </is>
      </c>
      <c r="R242" s="31" t="n">
        <v>1</v>
      </c>
      <c r="S242" s="31" t="n">
        <v>0</v>
      </c>
      <c r="T242" s="31" t="n">
        <v>660</v>
      </c>
      <c r="U242" s="31" t="n">
        <v>0</v>
      </c>
      <c r="V242" s="31" t="n">
        <v>0.22</v>
      </c>
      <c r="W242" s="31" t="n">
        <v>0</v>
      </c>
      <c r="X242" s="31" t="inlineStr">
        <is>
          <t>24'3歳未勝利--&gt;</t>
        </is>
      </c>
      <c r="Y242" s="31" t="n">
        <v>1</v>
      </c>
      <c r="Z242" s="31" t="inlineStr">
        <is>
          <t>価格帯</t>
        </is>
      </c>
    </row>
    <row r="243" ht="15" customHeight="1" s="19">
      <c r="A243" s="31" t="n">
        <v>2022</v>
      </c>
      <c r="B243" s="31" t="n">
        <v>61</v>
      </c>
      <c r="C243" s="31" t="inlineStr">
        <is>
          <t>アディクティドの2021</t>
        </is>
      </c>
      <c r="D243" s="31" t="inlineStr">
        <is>
          <t>アッファシナンテ (Affascinante)</t>
        </is>
      </c>
      <c r="E243" s="31" t="inlineStr">
        <is>
          <t>キズナ</t>
        </is>
      </c>
      <c r="F243" s="31" t="inlineStr">
        <is>
          <t>メス</t>
        </is>
      </c>
      <c r="G243" s="31" t="n">
        <v>4</v>
      </c>
      <c r="H243" s="31" t="n">
        <v>15</v>
      </c>
      <c r="I243" s="31" t="n">
        <v>8</v>
      </c>
      <c r="J243" s="31" t="n">
        <v>4000</v>
      </c>
      <c r="K243" s="31" t="n">
        <v>404</v>
      </c>
      <c r="L243" s="31" t="n">
        <v>153.5</v>
      </c>
      <c r="M243" s="31" t="n">
        <v>173</v>
      </c>
      <c r="N243" s="31" t="n">
        <v>19</v>
      </c>
      <c r="O243" s="31" t="n">
        <v>400</v>
      </c>
      <c r="P243" s="31" t="inlineStr">
        <is>
          <t>高野友和</t>
        </is>
      </c>
      <c r="Q243" s="31" t="inlineStr">
        <is>
          <t>1戦0勝</t>
        </is>
      </c>
      <c r="R243" s="31" t="n">
        <v>0</v>
      </c>
      <c r="S243" s="31" t="n">
        <v>0</v>
      </c>
      <c r="T243" s="31" t="n">
        <v>0</v>
      </c>
      <c r="U243" s="31" t="n">
        <v>0</v>
      </c>
      <c r="V243" s="31" t="n">
        <v>0</v>
      </c>
      <c r="W243" s="31" t="n">
        <v>0</v>
      </c>
      <c r="X243" s="31" t="inlineStr">
        <is>
          <t>--&gt;</t>
        </is>
      </c>
      <c r="Y243" s="31" t="n">
        <v>0</v>
      </c>
      <c r="Z243" s="31" t="inlineStr"/>
    </row>
    <row r="244" ht="15" customHeight="1" s="19">
      <c r="A244" s="31" t="n">
        <v>2022</v>
      </c>
      <c r="B244" s="31" t="n">
        <v>62</v>
      </c>
      <c r="C244" s="31" t="inlineStr">
        <is>
          <t>ディーパワンサの2021</t>
        </is>
      </c>
      <c r="D244" s="31" t="inlineStr">
        <is>
          <t>マハーワンサ</t>
        </is>
      </c>
      <c r="E244" s="31" t="inlineStr">
        <is>
          <t>ドゥラメンテ</t>
        </is>
      </c>
      <c r="F244" s="31" t="inlineStr">
        <is>
          <t>牡</t>
        </is>
      </c>
      <c r="G244" s="31" t="n">
        <v>4</v>
      </c>
      <c r="H244" s="31" t="n">
        <v>7</v>
      </c>
      <c r="I244" s="31" t="n">
        <v>1</v>
      </c>
      <c r="J244" s="31" t="n">
        <v>4000</v>
      </c>
      <c r="K244" s="31" t="n">
        <v>380</v>
      </c>
      <c r="L244" s="31" t="n">
        <v>149</v>
      </c>
      <c r="M244" s="31" t="n">
        <v>166</v>
      </c>
      <c r="N244" s="31" t="n">
        <v>19.2</v>
      </c>
      <c r="O244" s="31" t="n">
        <v>400</v>
      </c>
      <c r="P244" s="31" t="inlineStr">
        <is>
          <t>松下武士</t>
        </is>
      </c>
      <c r="Q244" s="31" t="inlineStr">
        <is>
          <t>0戦0勝</t>
        </is>
      </c>
      <c r="R244" s="31" t="n">
        <v>0</v>
      </c>
      <c r="S244" s="31" t="n">
        <v>0</v>
      </c>
      <c r="T244" s="31" t="n">
        <v>0</v>
      </c>
      <c r="U244" s="31" t="n">
        <v>0</v>
      </c>
      <c r="V244" s="31" t="n">
        <v>0</v>
      </c>
      <c r="W244" s="31" t="n">
        <v>0</v>
      </c>
      <c r="X244" s="31" t="inlineStr">
        <is>
          <t>--&gt;</t>
        </is>
      </c>
      <c r="Y244" s="31" t="n">
        <v>1</v>
      </c>
      <c r="Z244" s="31" t="inlineStr">
        <is>
          <t>牡</t>
        </is>
      </c>
    </row>
    <row r="245" ht="15" customHeight="1" s="19">
      <c r="A245" s="31" t="n">
        <v>2022</v>
      </c>
      <c r="B245" s="31" t="n">
        <v>63</v>
      </c>
      <c r="C245" s="31" t="inlineStr">
        <is>
          <t>ビートリックスキッドの2021</t>
        </is>
      </c>
      <c r="D245" s="31" t="inlineStr">
        <is>
          <t>ザブライド (The Bride)</t>
        </is>
      </c>
      <c r="E245" s="31" t="inlineStr">
        <is>
          <t>ドゥラメンテ</t>
        </is>
      </c>
      <c r="F245" s="31" t="inlineStr">
        <is>
          <t>メス</t>
        </is>
      </c>
      <c r="G245" s="31" t="n">
        <v>2</v>
      </c>
      <c r="H245" s="31" t="n">
        <v>17</v>
      </c>
      <c r="I245" s="31" t="n">
        <v>11</v>
      </c>
      <c r="J245" s="31" t="n">
        <v>3000</v>
      </c>
      <c r="K245" s="31" t="n">
        <v>453</v>
      </c>
      <c r="L245" s="31" t="n">
        <v>151.5</v>
      </c>
      <c r="M245" s="31" t="n">
        <v>174</v>
      </c>
      <c r="N245" s="31" t="n">
        <v>19.2</v>
      </c>
      <c r="O245" s="31" t="n">
        <v>400</v>
      </c>
      <c r="P245" s="31" t="inlineStr">
        <is>
          <t>西村真幸</t>
        </is>
      </c>
      <c r="Q245" s="31" t="inlineStr">
        <is>
          <t>11戦2勝</t>
        </is>
      </c>
      <c r="R245" s="31" t="n">
        <v>2</v>
      </c>
      <c r="S245" s="31" t="n">
        <v>0</v>
      </c>
      <c r="T245" s="31" t="n">
        <v>1543</v>
      </c>
      <c r="U245" s="31" t="n">
        <v>0</v>
      </c>
      <c r="V245" s="31" t="n">
        <v>0.51</v>
      </c>
      <c r="W245" s="31" t="n">
        <v>0</v>
      </c>
      <c r="X245" s="31" t="inlineStr">
        <is>
          <t>24'3歳以上1勝クラス24'3歳未勝利--&gt;</t>
        </is>
      </c>
      <c r="Y245" s="31" t="n">
        <v>2</v>
      </c>
      <c r="Z245" s="31" t="inlineStr">
        <is>
          <t>価格帯・420kg+</t>
        </is>
      </c>
    </row>
    <row r="246" ht="15" customHeight="1" s="19">
      <c r="A246" s="31" t="n">
        <v>2022</v>
      </c>
      <c r="B246" s="31" t="n">
        <v>64</v>
      </c>
      <c r="C246" s="31" t="inlineStr">
        <is>
          <t>ココシュニックの2021</t>
        </is>
      </c>
      <c r="D246" s="31" t="inlineStr">
        <is>
          <t>フェロニエール (Ferronniere)</t>
        </is>
      </c>
      <c r="E246" s="31" t="inlineStr">
        <is>
          <t>ドゥラメンテ</t>
        </is>
      </c>
      <c r="F246" s="31" t="inlineStr">
        <is>
          <t>メス</t>
        </is>
      </c>
      <c r="G246" s="31" t="n">
        <v>2</v>
      </c>
      <c r="H246" s="31" t="n">
        <v>16</v>
      </c>
      <c r="I246" s="31" t="n">
        <v>11</v>
      </c>
      <c r="J246" s="31" t="n">
        <v>3200</v>
      </c>
      <c r="K246" s="31" t="n">
        <v>487</v>
      </c>
      <c r="L246" s="31" t="n">
        <v>162</v>
      </c>
      <c r="M246" s="31" t="n">
        <v>183</v>
      </c>
      <c r="N246" s="31" t="n">
        <v>21</v>
      </c>
      <c r="O246" s="31" t="n">
        <v>400</v>
      </c>
      <c r="P246" s="31" t="inlineStr">
        <is>
          <t>高野友和</t>
        </is>
      </c>
      <c r="Q246" s="31" t="inlineStr">
        <is>
          <t>8戦1勝</t>
        </is>
      </c>
      <c r="R246" s="31" t="n">
        <v>1</v>
      </c>
      <c r="S246" s="31" t="n">
        <v>0</v>
      </c>
      <c r="T246" s="31" t="n">
        <v>1355</v>
      </c>
      <c r="U246" s="31" t="n">
        <v>0</v>
      </c>
      <c r="V246" s="31" t="n">
        <v>0.42</v>
      </c>
      <c r="W246" s="31" t="n">
        <v>0</v>
      </c>
      <c r="X246" s="31" t="inlineStr">
        <is>
          <t>24'3歳未勝利--&gt;</t>
        </is>
      </c>
      <c r="Y246" s="31" t="n">
        <v>2</v>
      </c>
      <c r="Z246" s="31" t="inlineStr">
        <is>
          <t>価格帯・420kg+</t>
        </is>
      </c>
    </row>
    <row r="247" ht="15" customHeight="1" s="19">
      <c r="A247" s="31" t="n">
        <v>2022</v>
      </c>
      <c r="B247" s="31" t="n">
        <v>65</v>
      </c>
      <c r="C247" s="31" t="inlineStr">
        <is>
          <t>アドマイヤローザの2021</t>
        </is>
      </c>
      <c r="D247" s="31" t="inlineStr">
        <is>
          <t>グレッソネイ (Gressoney)</t>
        </is>
      </c>
      <c r="E247" s="31" t="inlineStr">
        <is>
          <t>モーリス</t>
        </is>
      </c>
      <c r="F247" s="31" t="inlineStr">
        <is>
          <t>牡</t>
        </is>
      </c>
      <c r="G247" s="31" t="n">
        <v>1</v>
      </c>
      <c r="H247" s="31" t="n">
        <v>7</v>
      </c>
      <c r="I247" s="31" t="n">
        <v>1</v>
      </c>
      <c r="J247" s="31" t="n">
        <v>5000</v>
      </c>
      <c r="K247" s="31" t="n">
        <v>486</v>
      </c>
      <c r="L247" s="31" t="n">
        <v>155</v>
      </c>
      <c r="M247" s="31" t="n">
        <v>180</v>
      </c>
      <c r="N247" s="31" t="n">
        <v>20.9</v>
      </c>
      <c r="O247" s="31" t="n">
        <v>400</v>
      </c>
      <c r="P247" s="31" t="inlineStr">
        <is>
          <t>高野友和</t>
        </is>
      </c>
      <c r="Q247" s="31" t="inlineStr">
        <is>
          <t>13戦1勝</t>
        </is>
      </c>
      <c r="R247" s="31" t="n">
        <v>0</v>
      </c>
      <c r="S247" s="31" t="n">
        <v>1</v>
      </c>
      <c r="T247" s="31" t="n">
        <v>140</v>
      </c>
      <c r="U247" s="31" t="n">
        <v>242</v>
      </c>
      <c r="V247" s="31" t="n">
        <v>0.08</v>
      </c>
      <c r="W247" s="31" t="n">
        <v>0</v>
      </c>
      <c r="X247" s="31" t="inlineStr">
        <is>
          <t>風神賞--&gt;</t>
        </is>
      </c>
      <c r="Y247" s="31" t="n">
        <v>2</v>
      </c>
      <c r="Z247" s="31" t="inlineStr">
        <is>
          <t>牡・420kg+</t>
        </is>
      </c>
    </row>
    <row r="248" ht="15" customHeight="1" s="19">
      <c r="A248" s="31" t="n">
        <v>2022</v>
      </c>
      <c r="B248" s="31" t="n">
        <v>66</v>
      </c>
      <c r="C248" s="31" t="inlineStr">
        <is>
          <t>リスグラシューの2021</t>
        </is>
      </c>
      <c r="D248" s="31" t="inlineStr">
        <is>
          <t>シュヴェルトリリエ (Schwertlilie)</t>
        </is>
      </c>
      <c r="E248" s="31" t="inlineStr">
        <is>
          <t>モーリス</t>
        </is>
      </c>
      <c r="F248" s="31" t="inlineStr">
        <is>
          <t>牡</t>
        </is>
      </c>
      <c r="G248" s="31" t="n">
        <v>2</v>
      </c>
      <c r="H248" s="31" t="n">
        <v>7</v>
      </c>
      <c r="I248" s="31" t="n">
        <v>1</v>
      </c>
      <c r="J248" s="31" t="n">
        <v>12000</v>
      </c>
      <c r="K248" s="31" t="n">
        <v>444</v>
      </c>
      <c r="L248" s="31" t="n">
        <v>150.5</v>
      </c>
      <c r="M248" s="31" t="n">
        <v>171.5</v>
      </c>
      <c r="N248" s="31" t="n">
        <v>20.4</v>
      </c>
      <c r="O248" s="31" t="n">
        <v>400</v>
      </c>
      <c r="P248" s="31" t="inlineStr">
        <is>
          <t>矢作芳人</t>
        </is>
      </c>
      <c r="Q248" s="31" t="inlineStr">
        <is>
          <t>6戦0勝</t>
        </is>
      </c>
      <c r="R248" s="31" t="n">
        <v>0</v>
      </c>
      <c r="S248" s="31" t="n">
        <v>0</v>
      </c>
      <c r="T248" s="31" t="n">
        <v>538</v>
      </c>
      <c r="U248" s="31" t="n">
        <v>0</v>
      </c>
      <c r="V248" s="31" t="n">
        <v>0.04</v>
      </c>
      <c r="W248" s="31" t="n">
        <v>0</v>
      </c>
      <c r="X248" s="31" t="inlineStr">
        <is>
          <t>--&gt;</t>
        </is>
      </c>
      <c r="Y248" s="31" t="n">
        <v>2</v>
      </c>
      <c r="Z248" s="31" t="inlineStr">
        <is>
          <t>牡・420kg+</t>
        </is>
      </c>
    </row>
    <row r="249" ht="15" customHeight="1" s="19">
      <c r="A249" s="31" t="n">
        <v>2022</v>
      </c>
      <c r="B249" s="31" t="n">
        <v>67</v>
      </c>
      <c r="C249" s="31" t="inlineStr">
        <is>
          <t>ディアデラマドレの2021</t>
        </is>
      </c>
      <c r="D249" s="31" t="inlineStr">
        <is>
          <t>ログラール (Lograr)</t>
        </is>
      </c>
      <c r="E249" s="31" t="inlineStr">
        <is>
          <t>モーリス</t>
        </is>
      </c>
      <c r="F249" s="31" t="inlineStr">
        <is>
          <t>牡</t>
        </is>
      </c>
      <c r="G249" s="31" t="n">
        <v>3</v>
      </c>
      <c r="H249" s="31" t="n">
        <v>11</v>
      </c>
      <c r="I249" s="31" t="n">
        <v>5</v>
      </c>
      <c r="J249" s="31" t="n">
        <v>6000</v>
      </c>
      <c r="K249" s="31" t="n">
        <v>470</v>
      </c>
      <c r="L249" s="31" t="n">
        <v>156</v>
      </c>
      <c r="M249" s="31" t="n">
        <v>178.5</v>
      </c>
      <c r="N249" s="31" t="n">
        <v>20.2</v>
      </c>
      <c r="O249" s="31" t="n">
        <v>400</v>
      </c>
      <c r="P249" s="31" t="inlineStr">
        <is>
          <t>松永幹夫</t>
        </is>
      </c>
      <c r="Q249" s="31" t="inlineStr">
        <is>
          <t>16戦3勝</t>
        </is>
      </c>
      <c r="R249" s="31" t="n">
        <v>3</v>
      </c>
      <c r="S249" s="31" t="n">
        <v>0</v>
      </c>
      <c r="T249" s="31" t="n">
        <v>4029</v>
      </c>
      <c r="U249" s="31" t="n">
        <v>0</v>
      </c>
      <c r="V249" s="31" t="n">
        <v>0.67</v>
      </c>
      <c r="W249" s="31" t="n">
        <v>0</v>
      </c>
      <c r="X249" s="31" t="inlineStr">
        <is>
          <t>26'4歳以上2勝クラス24'3歳1勝クラス--&gt;</t>
        </is>
      </c>
      <c r="Y249" s="31" t="n">
        <v>2</v>
      </c>
      <c r="Z249" s="31" t="inlineStr">
        <is>
          <t>牡・420kg+</t>
        </is>
      </c>
    </row>
    <row r="250" ht="15" customHeight="1" s="19">
      <c r="A250" s="31" t="n">
        <v>2022</v>
      </c>
      <c r="B250" s="31" t="n">
        <v>68</v>
      </c>
      <c r="C250" s="31" t="inlineStr">
        <is>
          <t>ペルレンケッテの2021</t>
        </is>
      </c>
      <c r="D250" s="31" t="inlineStr">
        <is>
          <t>ミルテンベルク (Miltenberg)</t>
        </is>
      </c>
      <c r="E250" s="31" t="inlineStr">
        <is>
          <t>モーリス</t>
        </is>
      </c>
      <c r="F250" s="31" t="inlineStr">
        <is>
          <t>牡</t>
        </is>
      </c>
      <c r="G250" s="31" t="n">
        <v>4</v>
      </c>
      <c r="H250" s="31" t="n">
        <v>13</v>
      </c>
      <c r="I250" s="31" t="n">
        <v>7</v>
      </c>
      <c r="J250" s="31" t="n">
        <v>4000</v>
      </c>
      <c r="K250" s="31" t="n">
        <v>450</v>
      </c>
      <c r="L250" s="31" t="n">
        <v>157</v>
      </c>
      <c r="M250" s="31" t="n">
        <v>175.5</v>
      </c>
      <c r="N250" s="31" t="n">
        <v>20.9</v>
      </c>
      <c r="O250" s="31" t="n">
        <v>400</v>
      </c>
      <c r="P250" s="31" t="inlineStr">
        <is>
          <t>武英智</t>
        </is>
      </c>
      <c r="Q250" s="31" t="inlineStr">
        <is>
          <t>16戦2勝</t>
        </is>
      </c>
      <c r="R250" s="31" t="n">
        <v>2</v>
      </c>
      <c r="S250" s="31" t="n">
        <v>0</v>
      </c>
      <c r="T250" s="31" t="n">
        <v>6605</v>
      </c>
      <c r="U250" s="31" t="n">
        <v>0</v>
      </c>
      <c r="V250" s="31" t="n">
        <v>1.65</v>
      </c>
      <c r="W250" s="31" t="n">
        <v>0</v>
      </c>
      <c r="X250" s="31" t="inlineStr">
        <is>
          <t>24'九州スポーツ杯(2勝クラス)23'2歳新馬--&gt;</t>
        </is>
      </c>
      <c r="Y250" s="31" t="n">
        <v>2</v>
      </c>
      <c r="Z250" s="31" t="inlineStr">
        <is>
          <t>牡・420kg+</t>
        </is>
      </c>
    </row>
    <row r="251" ht="15" customHeight="1" s="19">
      <c r="A251" s="31" t="n">
        <v>2022</v>
      </c>
      <c r="B251" s="31" t="n">
        <v>69</v>
      </c>
      <c r="C251" s="31" t="inlineStr">
        <is>
          <t>レネットグルーヴの2021</t>
        </is>
      </c>
      <c r="D251" s="31" t="inlineStr">
        <is>
          <t>トルタディメーレ (Torta di Mele)</t>
        </is>
      </c>
      <c r="E251" s="31" t="inlineStr">
        <is>
          <t>モーリス</t>
        </is>
      </c>
      <c r="F251" s="31" t="inlineStr">
        <is>
          <t>メス</t>
        </is>
      </c>
      <c r="G251" s="31" t="n">
        <v>1</v>
      </c>
      <c r="H251" s="31" t="n">
        <v>11</v>
      </c>
      <c r="I251" s="31" t="n">
        <v>5</v>
      </c>
      <c r="J251" s="31" t="n">
        <v>2400</v>
      </c>
      <c r="K251" s="31" t="n">
        <v>478</v>
      </c>
      <c r="L251" s="31" t="n">
        <v>158.5</v>
      </c>
      <c r="M251" s="31" t="n">
        <v>182</v>
      </c>
      <c r="N251" s="31" t="n">
        <v>19.1</v>
      </c>
      <c r="O251" s="31" t="n">
        <v>400</v>
      </c>
      <c r="P251" s="31" t="inlineStr">
        <is>
          <t>橋口慎介</t>
        </is>
      </c>
      <c r="Q251" s="31" t="inlineStr">
        <is>
          <t>2戦0勝</t>
        </is>
      </c>
      <c r="R251" s="31" t="n">
        <v>0</v>
      </c>
      <c r="S251" s="31" t="n">
        <v>0</v>
      </c>
      <c r="T251" s="31" t="n">
        <v>0</v>
      </c>
      <c r="U251" s="31" t="n">
        <v>0</v>
      </c>
      <c r="V251" s="31" t="n">
        <v>0</v>
      </c>
      <c r="W251" s="31" t="n">
        <v>0</v>
      </c>
      <c r="X251" s="31" t="inlineStr">
        <is>
          <t>--&gt;</t>
        </is>
      </c>
      <c r="Y251" s="31" t="n">
        <v>1</v>
      </c>
      <c r="Z251" s="31" t="inlineStr">
        <is>
          <t>420kg+</t>
        </is>
      </c>
    </row>
    <row r="252" ht="15" customHeight="1" s="19">
      <c r="A252" s="31" t="n">
        <v>2022</v>
      </c>
      <c r="B252" s="31" t="n">
        <v>70</v>
      </c>
      <c r="C252" s="31" t="inlineStr">
        <is>
          <t>マルティンスタークの2021</t>
        </is>
      </c>
      <c r="D252" s="31" t="inlineStr">
        <is>
          <t>ローゼンモンターク (Rosenmontag)</t>
        </is>
      </c>
      <c r="E252" s="31" t="inlineStr">
        <is>
          <t>サトノダイヤモンド</t>
        </is>
      </c>
      <c r="F252" s="31" t="inlineStr">
        <is>
          <t>メス</t>
        </is>
      </c>
      <c r="G252" s="31" t="n">
        <v>3</v>
      </c>
      <c r="H252" s="31" t="n">
        <v>16</v>
      </c>
      <c r="I252" s="31" t="n">
        <v>10</v>
      </c>
      <c r="J252" s="31" t="n">
        <v>2800</v>
      </c>
      <c r="K252" s="31" t="n">
        <v>410</v>
      </c>
      <c r="L252" s="31" t="n">
        <v>150.5</v>
      </c>
      <c r="M252" s="31" t="n">
        <v>169</v>
      </c>
      <c r="N252" s="31" t="n">
        <v>18.9</v>
      </c>
      <c r="O252" s="31" t="n">
        <v>400</v>
      </c>
      <c r="P252" s="31" t="inlineStr">
        <is>
          <t>松永幹夫</t>
        </is>
      </c>
      <c r="Q252" s="31" t="inlineStr">
        <is>
          <t>10戦5勝</t>
        </is>
      </c>
      <c r="R252" s="31" t="n">
        <v>0</v>
      </c>
      <c r="S252" s="31" t="n">
        <v>5</v>
      </c>
      <c r="T252" s="31" t="n">
        <v>72</v>
      </c>
      <c r="U252" s="31" t="n">
        <v>215</v>
      </c>
      <c r="V252" s="31" t="n">
        <v>0.1</v>
      </c>
      <c r="W252" s="31" t="n">
        <v>0</v>
      </c>
      <c r="X252" s="31" t="inlineStr">
        <is>
          <t>C1三組3歳C2三組--&gt;</t>
        </is>
      </c>
      <c r="Y252" s="31" t="n">
        <v>1</v>
      </c>
      <c r="Z252" s="31" t="inlineStr">
        <is>
          <t>価格帯</t>
        </is>
      </c>
    </row>
    <row r="253" ht="15" customHeight="1" s="19">
      <c r="A253" s="31" t="n">
        <v>2022</v>
      </c>
      <c r="B253" s="31" t="n">
        <v>71</v>
      </c>
      <c r="C253" s="31" t="inlineStr">
        <is>
          <t>グリューヴァインの2021</t>
        </is>
      </c>
      <c r="D253" s="31" t="inlineStr">
        <is>
          <t>リューデスハイム (Rudesheim)</t>
        </is>
      </c>
      <c r="E253" s="31" t="inlineStr">
        <is>
          <t>ニューイヤーズデイ</t>
        </is>
      </c>
      <c r="F253" s="31" t="inlineStr">
        <is>
          <t>牡</t>
        </is>
      </c>
      <c r="G253" s="31" t="n">
        <v>3</v>
      </c>
      <c r="H253" s="31" t="n">
        <v>9</v>
      </c>
      <c r="I253" s="31" t="n">
        <v>3</v>
      </c>
      <c r="J253" s="31" t="n">
        <v>3000</v>
      </c>
      <c r="K253" s="31" t="n">
        <v>468</v>
      </c>
      <c r="L253" s="31" t="n">
        <v>155</v>
      </c>
      <c r="M253" s="31" t="n">
        <v>179</v>
      </c>
      <c r="N253" s="31" t="n">
        <v>21</v>
      </c>
      <c r="O253" s="31" t="n">
        <v>400</v>
      </c>
      <c r="P253" s="31" t="inlineStr">
        <is>
          <t>牧田和弥</t>
        </is>
      </c>
      <c r="Q253" s="31" t="inlineStr">
        <is>
          <t>17戦3勝</t>
        </is>
      </c>
      <c r="R253" s="31" t="n">
        <v>3</v>
      </c>
      <c r="S253" s="31" t="n">
        <v>0</v>
      </c>
      <c r="T253" s="31" t="n">
        <v>5394</v>
      </c>
      <c r="U253" s="31" t="n">
        <v>0</v>
      </c>
      <c r="V253" s="31" t="n">
        <v>1.8</v>
      </c>
      <c r="W253" s="31" t="n">
        <v>0</v>
      </c>
      <c r="X253" s="31" t="inlineStr">
        <is>
          <t>24'3歳以上2勝クラス24'3歳以上1勝クラス--&gt;</t>
        </is>
      </c>
      <c r="Y253" s="31" t="n">
        <v>3</v>
      </c>
      <c r="Z253" s="31" t="inlineStr">
        <is>
          <t>牡・価格帯・420kg+</t>
        </is>
      </c>
    </row>
    <row r="254" ht="15" customHeight="1" s="19">
      <c r="A254" s="31" t="n">
        <v>2022</v>
      </c>
      <c r="B254" s="31" t="n">
        <v>72</v>
      </c>
      <c r="C254" s="31" t="inlineStr">
        <is>
          <t>クルークハイトの2021</t>
        </is>
      </c>
      <c r="D254" s="31" t="inlineStr">
        <is>
          <t>ルフトクス (Luftkuss)</t>
        </is>
      </c>
      <c r="E254" s="31" t="inlineStr">
        <is>
          <t>ニューイヤーズデイ</t>
        </is>
      </c>
      <c r="F254" s="31" t="inlineStr">
        <is>
          <t>メス</t>
        </is>
      </c>
      <c r="G254" s="31" t="n">
        <v>3</v>
      </c>
      <c r="H254" s="31" t="n">
        <v>7</v>
      </c>
      <c r="I254" s="31" t="n">
        <v>1</v>
      </c>
      <c r="J254" s="31" t="n">
        <v>2800</v>
      </c>
      <c r="K254" s="31" t="n">
        <v>454</v>
      </c>
      <c r="L254" s="31" t="n">
        <v>157</v>
      </c>
      <c r="M254" s="31" t="n">
        <v>177</v>
      </c>
      <c r="N254" s="31" t="n">
        <v>20.4</v>
      </c>
      <c r="O254" s="31" t="n">
        <v>400</v>
      </c>
      <c r="P254" s="31" t="inlineStr">
        <is>
          <t>杉山晴紀</t>
        </is>
      </c>
      <c r="Q254" s="31" t="inlineStr">
        <is>
          <t>14戦3勝</t>
        </is>
      </c>
      <c r="R254" s="31" t="n">
        <v>3</v>
      </c>
      <c r="S254" s="31" t="n">
        <v>0</v>
      </c>
      <c r="T254" s="31" t="n">
        <v>4625</v>
      </c>
      <c r="U254" s="31" t="n">
        <v>0</v>
      </c>
      <c r="V254" s="31" t="n">
        <v>1.65</v>
      </c>
      <c r="W254" s="31" t="n">
        <v>0</v>
      </c>
      <c r="X254" s="31" t="inlineStr">
        <is>
          <t>25'八女特別(2勝クラス)25'4歳以上1勝クラス--&gt;</t>
        </is>
      </c>
      <c r="Y254" s="31" t="n">
        <v>2</v>
      </c>
      <c r="Z254" s="31" t="inlineStr">
        <is>
          <t>価格帯・420kg+</t>
        </is>
      </c>
    </row>
    <row r="255" ht="15" customHeight="1" s="19">
      <c r="A255" s="31" t="n">
        <v>2022</v>
      </c>
      <c r="B255" s="31" t="n">
        <v>73</v>
      </c>
      <c r="C255" s="31" t="inlineStr">
        <is>
          <t>オーマイベイビーの2021</t>
        </is>
      </c>
      <c r="D255" s="31" t="inlineStr">
        <is>
          <t>ヴィスマール (Wismar)</t>
        </is>
      </c>
      <c r="E255" s="31" t="inlineStr">
        <is>
          <t>ブリックスアンドモルタル</t>
        </is>
      </c>
      <c r="F255" s="31" t="inlineStr">
        <is>
          <t>牡</t>
        </is>
      </c>
      <c r="G255" s="31" t="n">
        <v>3</v>
      </c>
      <c r="H255" s="31" t="n">
        <v>10</v>
      </c>
      <c r="I255" s="31" t="n">
        <v>6</v>
      </c>
      <c r="J255" s="31" t="n">
        <v>6000</v>
      </c>
      <c r="K255" s="31" t="n">
        <v>436</v>
      </c>
      <c r="L255" s="31" t="n">
        <v>151</v>
      </c>
      <c r="M255" s="31" t="n">
        <v>172.5</v>
      </c>
      <c r="N255" s="31" t="n">
        <v>20.1</v>
      </c>
      <c r="O255" s="31" t="n">
        <v>400</v>
      </c>
      <c r="P255" s="31" t="inlineStr">
        <is>
          <t>奥村豊</t>
        </is>
      </c>
      <c r="Q255" s="31" t="inlineStr">
        <is>
          <t>19戦3勝</t>
        </is>
      </c>
      <c r="R255" s="31" t="n">
        <v>3</v>
      </c>
      <c r="S255" s="31" t="n">
        <v>0</v>
      </c>
      <c r="T255" s="31" t="n">
        <v>6249</v>
      </c>
      <c r="U255" s="31" t="n">
        <v>0</v>
      </c>
      <c r="V255" s="31" t="n">
        <v>1.04</v>
      </c>
      <c r="W255" s="31" t="n">
        <v>0</v>
      </c>
      <c r="X255" s="31" t="inlineStr">
        <is>
          <t>26'鴨川特別(2勝クラス)25'4歳以上1勝クラス--&gt;</t>
        </is>
      </c>
      <c r="Y255" s="31" t="n">
        <v>2</v>
      </c>
      <c r="Z255" s="31" t="inlineStr">
        <is>
          <t>牡・420kg+</t>
        </is>
      </c>
    </row>
    <row r="256" ht="15" customHeight="1" s="19">
      <c r="A256" s="31" t="n">
        <v>2022</v>
      </c>
      <c r="B256" s="31" t="n">
        <v>74</v>
      </c>
      <c r="C256" s="31" t="inlineStr">
        <is>
          <t>ラプソディーアの2021</t>
        </is>
      </c>
      <c r="D256" s="31" t="inlineStr">
        <is>
          <t>フルラーナ (Furlana)</t>
        </is>
      </c>
      <c r="E256" s="31" t="inlineStr">
        <is>
          <t>ブリックスアンドモルタル</t>
        </is>
      </c>
      <c r="F256" s="31" t="inlineStr">
        <is>
          <t>メス</t>
        </is>
      </c>
      <c r="G256" s="31" t="n">
        <v>4</v>
      </c>
      <c r="H256" s="31" t="n">
        <v>7</v>
      </c>
      <c r="I256" s="31" t="n">
        <v>1</v>
      </c>
      <c r="J256" s="31" t="n">
        <v>2400</v>
      </c>
      <c r="K256" s="31" t="n">
        <v>394</v>
      </c>
      <c r="L256" s="31" t="n">
        <v>147.5</v>
      </c>
      <c r="M256" s="31" t="n">
        <v>170.5</v>
      </c>
      <c r="N256" s="31" t="n">
        <v>18.7</v>
      </c>
      <c r="O256" s="31" t="n">
        <v>400</v>
      </c>
      <c r="P256" s="31" t="inlineStr">
        <is>
          <t>平田修</t>
        </is>
      </c>
      <c r="Q256" s="31" t="inlineStr">
        <is>
          <t>35戦1勝</t>
        </is>
      </c>
      <c r="R256" s="31" t="n">
        <v>0</v>
      </c>
      <c r="S256" s="31" t="n">
        <v>1</v>
      </c>
      <c r="T256" s="31" t="n">
        <v>72</v>
      </c>
      <c r="U256" s="31" t="n">
        <v>113</v>
      </c>
      <c r="V256" s="31" t="n">
        <v>0.08</v>
      </c>
      <c r="W256" s="31" t="n">
        <v>0</v>
      </c>
      <c r="X256" s="31" t="inlineStr">
        <is>
          <t>カサオク・サンクス賞--&gt;</t>
        </is>
      </c>
      <c r="Y256" s="31" t="n">
        <v>0</v>
      </c>
      <c r="Z256" s="31" t="inlineStr"/>
    </row>
    <row r="257" ht="15" customHeight="1" s="19">
      <c r="A257" s="31" t="n">
        <v>2022</v>
      </c>
      <c r="B257" s="31" t="n">
        <v>75</v>
      </c>
      <c r="C257" s="31" t="inlineStr">
        <is>
          <t>アロマドゥルセの2021</t>
        </is>
      </c>
      <c r="D257" s="31" t="inlineStr">
        <is>
          <t>ガルバナム (Galbanum)</t>
        </is>
      </c>
      <c r="E257" s="31" t="inlineStr">
        <is>
          <t>ハービンジャー</t>
        </is>
      </c>
      <c r="F257" s="31" t="inlineStr">
        <is>
          <t>牡</t>
        </is>
      </c>
      <c r="G257" s="31" t="n">
        <v>3</v>
      </c>
      <c r="H257" s="31" t="n">
        <v>7</v>
      </c>
      <c r="I257" s="31" t="n">
        <v>1</v>
      </c>
      <c r="J257" s="31" t="n">
        <v>3600</v>
      </c>
      <c r="K257" s="31" t="n">
        <v>442</v>
      </c>
      <c r="L257" s="31" t="n">
        <v>153</v>
      </c>
      <c r="M257" s="31" t="n">
        <v>173.5</v>
      </c>
      <c r="N257" s="31" t="n">
        <v>20.7</v>
      </c>
      <c r="O257" s="31" t="n">
        <v>400</v>
      </c>
      <c r="P257" s="31" t="inlineStr">
        <is>
          <t>渡辺薫彦</t>
        </is>
      </c>
      <c r="Q257" s="31" t="inlineStr">
        <is>
          <t>40戦2勝</t>
        </is>
      </c>
      <c r="R257" s="31" t="n">
        <v>0</v>
      </c>
      <c r="S257" s="31" t="n">
        <v>2</v>
      </c>
      <c r="T257" s="31" t="n">
        <v>510</v>
      </c>
      <c r="U257" s="31" t="n">
        <v>512</v>
      </c>
      <c r="V257" s="31" t="n">
        <v>0.28</v>
      </c>
      <c r="W257" s="31" t="n">
        <v>0</v>
      </c>
      <c r="X257" s="31" t="inlineStr">
        <is>
          <t>C2一C3三--&gt;</t>
        </is>
      </c>
      <c r="Y257" s="31" t="n">
        <v>3</v>
      </c>
      <c r="Z257" s="31" t="inlineStr">
        <is>
          <t>牡・価格帯・420kg+</t>
        </is>
      </c>
    </row>
    <row r="258" ht="15" customHeight="1" s="19">
      <c r="A258" s="31" t="n">
        <v>2022</v>
      </c>
      <c r="B258" s="31" t="n">
        <v>76</v>
      </c>
      <c r="C258" s="31" t="inlineStr">
        <is>
          <t>レイリオンの2021</t>
        </is>
      </c>
      <c r="D258" s="31" t="inlineStr">
        <is>
          <t>ピュアスマイル (Pure Smile)</t>
        </is>
      </c>
      <c r="E258" s="31" t="inlineStr">
        <is>
          <t>ハービンジャー</t>
        </is>
      </c>
      <c r="F258" s="31" t="inlineStr">
        <is>
          <t>メス</t>
        </is>
      </c>
      <c r="G258" s="31" t="n">
        <v>1</v>
      </c>
      <c r="H258" s="31" t="n">
        <v>8</v>
      </c>
      <c r="I258" s="31" t="n">
        <v>2</v>
      </c>
      <c r="J258" s="31" t="n">
        <v>2800</v>
      </c>
      <c r="K258" s="31" t="n">
        <v>438</v>
      </c>
      <c r="L258" s="31" t="n">
        <v>154</v>
      </c>
      <c r="M258" s="31" t="n">
        <v>178</v>
      </c>
      <c r="N258" s="31" t="n">
        <v>18.9</v>
      </c>
      <c r="O258" s="31" t="n">
        <v>400</v>
      </c>
      <c r="P258" s="31" t="inlineStr">
        <is>
          <t>安田翔伍</t>
        </is>
      </c>
      <c r="Q258" s="31" t="inlineStr">
        <is>
          <t>5戦0勝</t>
        </is>
      </c>
      <c r="R258" s="31" t="n">
        <v>0</v>
      </c>
      <c r="S258" s="31" t="n">
        <v>0</v>
      </c>
      <c r="T258" s="31" t="n">
        <v>83</v>
      </c>
      <c r="U258" s="31" t="n">
        <v>0</v>
      </c>
      <c r="V258" s="31" t="n">
        <v>0.03</v>
      </c>
      <c r="W258" s="31" t="n">
        <v>0</v>
      </c>
      <c r="X258" s="31" t="inlineStr">
        <is>
          <t>--&gt;</t>
        </is>
      </c>
      <c r="Y258" s="31" t="n">
        <v>2</v>
      </c>
      <c r="Z258" s="31" t="inlineStr">
        <is>
          <t>価格帯・420kg+</t>
        </is>
      </c>
    </row>
    <row r="259" ht="15" customHeight="1" s="19">
      <c r="A259" s="31" t="n">
        <v>2022</v>
      </c>
      <c r="B259" s="31" t="n">
        <v>77</v>
      </c>
      <c r="C259" s="31" t="inlineStr">
        <is>
          <t>ヴィートマルシェの2021</t>
        </is>
      </c>
      <c r="D259" s="31" t="inlineStr">
        <is>
          <t>マルチャレアル (Marcha Real)</t>
        </is>
      </c>
      <c r="E259" s="31" t="inlineStr">
        <is>
          <t>リアルインパクト</t>
        </is>
      </c>
      <c r="F259" s="31" t="inlineStr">
        <is>
          <t>牡</t>
        </is>
      </c>
      <c r="G259" s="31" t="n">
        <v>1</v>
      </c>
      <c r="H259" s="31" t="n">
        <v>19</v>
      </c>
      <c r="I259" s="31" t="n">
        <v>12</v>
      </c>
      <c r="J259" s="31" t="n">
        <v>5000</v>
      </c>
      <c r="K259" s="31" t="n">
        <v>469</v>
      </c>
      <c r="L259" s="31" t="n">
        <v>156</v>
      </c>
      <c r="M259" s="31" t="n">
        <v>175.5</v>
      </c>
      <c r="N259" s="31" t="n">
        <v>20.2</v>
      </c>
      <c r="O259" s="31" t="n">
        <v>400</v>
      </c>
      <c r="P259" s="31" t="inlineStr">
        <is>
          <t>斉藤崇史</t>
        </is>
      </c>
      <c r="Q259" s="31" t="inlineStr">
        <is>
          <t>9戦3勝</t>
        </is>
      </c>
      <c r="R259" s="31" t="n">
        <v>3</v>
      </c>
      <c r="S259" s="31" t="n">
        <v>0</v>
      </c>
      <c r="T259" s="31" t="n">
        <v>3559</v>
      </c>
      <c r="U259" s="31" t="n">
        <v>0</v>
      </c>
      <c r="V259" s="31" t="n">
        <v>0.71</v>
      </c>
      <c r="W259" s="31" t="n">
        <v>0</v>
      </c>
      <c r="X259" s="31" t="inlineStr">
        <is>
          <t>24'3歳以上2勝クラス24'3歳1勝クラス--&gt;</t>
        </is>
      </c>
      <c r="Y259" s="31" t="n">
        <v>2</v>
      </c>
      <c r="Z259" s="31" t="inlineStr">
        <is>
          <t>牡・420kg+</t>
        </is>
      </c>
    </row>
    <row r="260" ht="15" customHeight="1" s="19">
      <c r="A260" s="31" t="n">
        <v>2022</v>
      </c>
      <c r="B260" s="31" t="n">
        <v>78</v>
      </c>
      <c r="C260" s="31" t="inlineStr">
        <is>
          <t>リッチダンサーの2021</t>
        </is>
      </c>
      <c r="D260" s="31" t="inlineStr">
        <is>
          <t>ウィンターガーデン (Winter Garden)</t>
        </is>
      </c>
      <c r="E260" s="31" t="inlineStr">
        <is>
          <t>リアルインパクト</t>
        </is>
      </c>
      <c r="F260" s="31" t="inlineStr">
        <is>
          <t>メス</t>
        </is>
      </c>
      <c r="G260" s="31" t="n">
        <v>4</v>
      </c>
      <c r="H260" s="31" t="n">
        <v>21</v>
      </c>
      <c r="I260" s="31" t="n">
        <v>16</v>
      </c>
      <c r="J260" s="31" t="n">
        <v>3000</v>
      </c>
      <c r="K260" s="31" t="n">
        <v>434</v>
      </c>
      <c r="L260" s="31" t="n">
        <v>154</v>
      </c>
      <c r="M260" s="31" t="n">
        <v>177</v>
      </c>
      <c r="N260" s="31" t="n">
        <v>19.5</v>
      </c>
      <c r="O260" s="31" t="n">
        <v>400</v>
      </c>
      <c r="P260" s="31" t="inlineStr">
        <is>
          <t>武幸四郎</t>
        </is>
      </c>
      <c r="Q260" s="31" t="inlineStr">
        <is>
          <t>24戦1勝</t>
        </is>
      </c>
      <c r="R260" s="31" t="n">
        <v>1</v>
      </c>
      <c r="S260" s="31" t="n">
        <v>0</v>
      </c>
      <c r="T260" s="31" t="n">
        <v>2473</v>
      </c>
      <c r="U260" s="31" t="n">
        <v>0</v>
      </c>
      <c r="V260" s="31" t="n">
        <v>0.82</v>
      </c>
      <c r="W260" s="31" t="n">
        <v>0</v>
      </c>
      <c r="X260" s="31" t="inlineStr">
        <is>
          <t>24'3歳未勝利--&gt;</t>
        </is>
      </c>
      <c r="Y260" s="31" t="n">
        <v>2</v>
      </c>
      <c r="Z260" s="31" t="inlineStr">
        <is>
          <t>価格帯・420kg+</t>
        </is>
      </c>
    </row>
    <row r="261" ht="15" customHeight="1" s="19">
      <c r="A261" s="31" t="n">
        <v>2022</v>
      </c>
      <c r="B261" s="31" t="n">
        <v>79</v>
      </c>
      <c r="C261" s="31" t="inlineStr">
        <is>
          <t>ヒストリックスターの2021</t>
        </is>
      </c>
      <c r="D261" s="31" t="inlineStr">
        <is>
          <t>コルレオニス (Cor Leonis)</t>
        </is>
      </c>
      <c r="E261" s="31" t="inlineStr">
        <is>
          <t>レイデオロ</t>
        </is>
      </c>
      <c r="F261" s="31" t="inlineStr">
        <is>
          <t>牡</t>
        </is>
      </c>
      <c r="G261" s="31" t="n">
        <v>1</v>
      </c>
      <c r="H261" s="31" t="n">
        <v>16</v>
      </c>
      <c r="I261" s="31" t="n">
        <v>13</v>
      </c>
      <c r="J261" s="31" t="n">
        <v>8000</v>
      </c>
      <c r="K261" s="31" t="n">
        <v>461</v>
      </c>
      <c r="L261" s="31" t="n">
        <v>155</v>
      </c>
      <c r="M261" s="31" t="n">
        <v>176.5</v>
      </c>
      <c r="N261" s="31" t="n">
        <v>20.1</v>
      </c>
      <c r="O261" s="31" t="n">
        <v>400</v>
      </c>
      <c r="P261" s="31" t="inlineStr">
        <is>
          <t>友道康夫</t>
        </is>
      </c>
      <c r="Q261" s="31" t="inlineStr">
        <is>
          <t>16戦3勝</t>
        </is>
      </c>
      <c r="R261" s="31" t="n">
        <v>3</v>
      </c>
      <c r="S261" s="31" t="n">
        <v>0</v>
      </c>
      <c r="T261" s="31" t="n">
        <v>4711</v>
      </c>
      <c r="U261" s="31" t="n">
        <v>0</v>
      </c>
      <c r="V261" s="31" t="n">
        <v>0.59</v>
      </c>
      <c r="W261" s="31" t="n">
        <v>0</v>
      </c>
      <c r="X261" s="31" t="inlineStr">
        <is>
          <t>25'調布特別(2勝クラス)25'4歳以上1勝クラス--&gt;</t>
        </is>
      </c>
      <c r="Y261" s="31" t="n">
        <v>2</v>
      </c>
      <c r="Z261" s="31" t="inlineStr">
        <is>
          <t>牡・420kg+</t>
        </is>
      </c>
    </row>
    <row r="262" ht="15" customHeight="1" s="19">
      <c r="A262" s="31" t="n">
        <v>2022</v>
      </c>
      <c r="B262" s="31" t="n">
        <v>80</v>
      </c>
      <c r="C262" s="31" t="inlineStr">
        <is>
          <t>ギーニョの2021</t>
        </is>
      </c>
      <c r="D262" s="31" t="inlineStr">
        <is>
          <t>エルサビオ (El Sabio)</t>
        </is>
      </c>
      <c r="E262" s="31" t="inlineStr">
        <is>
          <t>レイデオロ</t>
        </is>
      </c>
      <c r="F262" s="31" t="inlineStr">
        <is>
          <t>牡</t>
        </is>
      </c>
      <c r="G262" s="31" t="n">
        <v>4</v>
      </c>
      <c r="H262" s="31" t="n">
        <v>18</v>
      </c>
      <c r="I262" s="31" t="n">
        <v>11</v>
      </c>
      <c r="J262" s="31" t="n">
        <v>5600</v>
      </c>
      <c r="K262" s="31" t="n">
        <v>443</v>
      </c>
      <c r="L262" s="31" t="n">
        <v>153</v>
      </c>
      <c r="M262" s="31" t="n">
        <v>170.5</v>
      </c>
      <c r="N262" s="31" t="n">
        <v>20.2</v>
      </c>
      <c r="O262" s="31" t="n">
        <v>400</v>
      </c>
      <c r="P262" s="31" t="inlineStr">
        <is>
          <t>中内田充正</t>
        </is>
      </c>
      <c r="Q262" s="31" t="inlineStr">
        <is>
          <t>4戦1勝</t>
        </is>
      </c>
      <c r="R262" s="31" t="n">
        <v>1</v>
      </c>
      <c r="S262" s="31" t="n">
        <v>0</v>
      </c>
      <c r="T262" s="31" t="n">
        <v>1240</v>
      </c>
      <c r="U262" s="31" t="n">
        <v>0</v>
      </c>
      <c r="V262" s="31" t="n">
        <v>0.22</v>
      </c>
      <c r="W262" s="31" t="n">
        <v>0</v>
      </c>
      <c r="X262" s="31" t="inlineStr">
        <is>
          <t>23'2歳新馬--&gt;</t>
        </is>
      </c>
      <c r="Y262" s="31" t="n">
        <v>2</v>
      </c>
      <c r="Z262" s="31" t="inlineStr">
        <is>
          <t>牡・420kg+</t>
        </is>
      </c>
    </row>
    <row r="263" ht="15" customHeight="1" s="19">
      <c r="A263" s="31" t="n">
        <v>2022</v>
      </c>
      <c r="B263" s="31" t="n">
        <v>81</v>
      </c>
      <c r="C263" s="31" t="inlineStr">
        <is>
          <t>ライジングクロスの2021</t>
        </is>
      </c>
      <c r="D263" s="31" t="inlineStr">
        <is>
          <t>フェアアイル (Fair Isle)</t>
        </is>
      </c>
      <c r="E263" s="31" t="inlineStr">
        <is>
          <t>ミッキーアイル</t>
        </is>
      </c>
      <c r="F263" s="31" t="inlineStr">
        <is>
          <t>メス</t>
        </is>
      </c>
      <c r="G263" s="31" t="n">
        <v>2</v>
      </c>
      <c r="H263" s="31" t="n">
        <v>18</v>
      </c>
      <c r="I263" s="31" t="n">
        <v>12</v>
      </c>
      <c r="J263" s="31" t="n">
        <v>2400</v>
      </c>
      <c r="K263" s="31" t="n">
        <v>404</v>
      </c>
      <c r="L263" s="31" t="n">
        <v>149.5</v>
      </c>
      <c r="M263" s="31" t="n">
        <v>171</v>
      </c>
      <c r="N263" s="31" t="n">
        <v>18.5</v>
      </c>
      <c r="O263" s="31" t="n">
        <v>400</v>
      </c>
      <c r="P263" s="31" t="inlineStr">
        <is>
          <t>音無秀孝</t>
        </is>
      </c>
      <c r="Q263" s="31" t="inlineStr">
        <is>
          <t>7戦0勝</t>
        </is>
      </c>
      <c r="R263" s="31" t="n">
        <v>0</v>
      </c>
      <c r="S263" s="31" t="n">
        <v>0</v>
      </c>
      <c r="T263" s="31" t="n">
        <v>440</v>
      </c>
      <c r="U263" s="31" t="n">
        <v>0</v>
      </c>
      <c r="V263" s="31" t="n">
        <v>0.18</v>
      </c>
      <c r="W263" s="31" t="n">
        <v>0</v>
      </c>
      <c r="X263" s="31" t="inlineStr">
        <is>
          <t>--&gt;</t>
        </is>
      </c>
      <c r="Y263" s="31" t="n">
        <v>0</v>
      </c>
      <c r="Z263" s="31" t="inlineStr"/>
    </row>
    <row r="264" ht="15" customHeight="1" s="19">
      <c r="A264" s="31" t="n">
        <v>2022</v>
      </c>
      <c r="B264" s="31" t="n">
        <v>82</v>
      </c>
      <c r="C264" s="31" t="inlineStr">
        <is>
          <t>カイカヨソウの2021</t>
        </is>
      </c>
      <c r="D264" s="31" t="inlineStr">
        <is>
          <t>フルレゾン (Fleuraison)</t>
        </is>
      </c>
      <c r="E264" s="31" t="inlineStr">
        <is>
          <t>オルフェーヴル</t>
        </is>
      </c>
      <c r="F264" s="31" t="inlineStr">
        <is>
          <t>メス</t>
        </is>
      </c>
      <c r="G264" s="31" t="n">
        <v>2</v>
      </c>
      <c r="H264" s="31" t="n">
        <v>11</v>
      </c>
      <c r="I264" s="31" t="n">
        <v>5</v>
      </c>
      <c r="J264" s="31" t="n">
        <v>2800</v>
      </c>
      <c r="K264" s="31" t="n">
        <v>449</v>
      </c>
      <c r="L264" s="31" t="n">
        <v>157.5</v>
      </c>
      <c r="M264" s="31" t="n">
        <v>178.5</v>
      </c>
      <c r="N264" s="31" t="n">
        <v>19</v>
      </c>
      <c r="O264" s="31" t="n">
        <v>400</v>
      </c>
      <c r="P264" s="31" t="inlineStr">
        <is>
          <t>池添学</t>
        </is>
      </c>
      <c r="Q264" s="31" t="inlineStr">
        <is>
          <t>18戦2勝</t>
        </is>
      </c>
      <c r="R264" s="31" t="n">
        <v>2</v>
      </c>
      <c r="S264" s="31" t="n">
        <v>0</v>
      </c>
      <c r="T264" s="31" t="n">
        <v>3329</v>
      </c>
      <c r="U264" s="31" t="n">
        <v>0</v>
      </c>
      <c r="V264" s="31" t="n">
        <v>1.19</v>
      </c>
      <c r="W264" s="31" t="n">
        <v>0</v>
      </c>
      <c r="X264" s="31" t="inlineStr">
        <is>
          <t>25'3歳以上1勝クラス23'2歳未勝利--&gt;</t>
        </is>
      </c>
      <c r="Y264" s="31" t="n">
        <v>2</v>
      </c>
      <c r="Z264" s="31" t="inlineStr">
        <is>
          <t>価格帯・420kg+</t>
        </is>
      </c>
    </row>
    <row r="265" ht="15" customHeight="1" s="19">
      <c r="A265" s="31" t="n">
        <v>2022</v>
      </c>
      <c r="B265" s="31" t="n">
        <v>83</v>
      </c>
      <c r="C265" s="31" t="inlineStr">
        <is>
          <t>クイックリトルミスの2021</t>
        </is>
      </c>
      <c r="D265" s="31" t="inlineStr">
        <is>
          <t>ライジングアロー (Rising Arrow)</t>
        </is>
      </c>
      <c r="E265" s="31" t="inlineStr">
        <is>
          <t>スワーヴリチャード</t>
        </is>
      </c>
      <c r="F265" s="31" t="inlineStr">
        <is>
          <t>牡</t>
        </is>
      </c>
      <c r="G265" s="31" t="n">
        <v>3</v>
      </c>
      <c r="H265" s="31" t="n">
        <v>17</v>
      </c>
      <c r="I265" s="31" t="n">
        <v>12</v>
      </c>
      <c r="J265" s="31" t="n">
        <v>2400</v>
      </c>
      <c r="K265" s="31" t="n">
        <v>461</v>
      </c>
      <c r="L265" s="31" t="n">
        <v>156</v>
      </c>
      <c r="M265" s="31" t="n">
        <v>173</v>
      </c>
      <c r="N265" s="31" t="n">
        <v>21.2</v>
      </c>
      <c r="O265" s="31" t="n">
        <v>400</v>
      </c>
      <c r="P265" s="31" t="inlineStr">
        <is>
          <t>庄野靖志</t>
        </is>
      </c>
      <c r="Q265" s="31" t="inlineStr">
        <is>
          <t>2戦0勝</t>
        </is>
      </c>
      <c r="R265" s="31" t="n">
        <v>0</v>
      </c>
      <c r="S265" s="31" t="n">
        <v>0</v>
      </c>
      <c r="T265" s="31" t="n">
        <v>165</v>
      </c>
      <c r="U265" s="31" t="n">
        <v>0</v>
      </c>
      <c r="V265" s="31" t="n">
        <v>0.07000000000000001</v>
      </c>
      <c r="W265" s="31" t="n">
        <v>0</v>
      </c>
      <c r="X265" s="31" t="inlineStr">
        <is>
          <t>--&gt;</t>
        </is>
      </c>
      <c r="Y265" s="31" t="n">
        <v>2</v>
      </c>
      <c r="Z265" s="31" t="inlineStr">
        <is>
          <t>牡・420kg+</t>
        </is>
      </c>
    </row>
    <row r="266" ht="15" customHeight="1" s="19">
      <c r="A266" s="31" t="n">
        <v>2022</v>
      </c>
      <c r="B266" s="31" t="n">
        <v>84</v>
      </c>
      <c r="C266" s="31" t="inlineStr">
        <is>
          <t>アピールⅡの2021</t>
        </is>
      </c>
      <c r="D266" s="31" t="inlineStr">
        <is>
          <t>レトリカル (Rhetorical)</t>
        </is>
      </c>
      <c r="E266" s="31" t="inlineStr">
        <is>
          <t>ダイワメジャー</t>
        </is>
      </c>
      <c r="F266" s="31" t="inlineStr">
        <is>
          <t>牡</t>
        </is>
      </c>
      <c r="G266" s="31" t="n">
        <v>4</v>
      </c>
      <c r="H266" s="31" t="n">
        <v>13</v>
      </c>
      <c r="I266" s="31" t="n">
        <v>8</v>
      </c>
      <c r="J266" s="31" t="n">
        <v>2600</v>
      </c>
      <c r="K266" s="31" t="n">
        <v>410</v>
      </c>
      <c r="L266" s="31" t="n">
        <v>151</v>
      </c>
      <c r="M266" s="31" t="n">
        <v>172</v>
      </c>
      <c r="N266" s="31" t="n">
        <v>19.7</v>
      </c>
      <c r="O266" s="31" t="n">
        <v>400</v>
      </c>
      <c r="P266" s="31" t="inlineStr">
        <is>
          <t>高柳大輔</t>
        </is>
      </c>
      <c r="Q266" s="31" t="inlineStr">
        <is>
          <t>0戦0勝</t>
        </is>
      </c>
      <c r="R266" s="31" t="n">
        <v>0</v>
      </c>
      <c r="S266" s="31" t="n">
        <v>0</v>
      </c>
      <c r="T266" s="31" t="n">
        <v>0</v>
      </c>
      <c r="U266" s="31" t="n">
        <v>0</v>
      </c>
      <c r="V266" s="31" t="n">
        <v>0</v>
      </c>
      <c r="W266" s="31" t="n">
        <v>0</v>
      </c>
      <c r="X266" s="31" t="inlineStr">
        <is>
          <t>--&gt;</t>
        </is>
      </c>
      <c r="Y266" s="31" t="n">
        <v>2</v>
      </c>
      <c r="Z266" s="31" t="inlineStr">
        <is>
          <t>牡・価格帯</t>
        </is>
      </c>
    </row>
    <row r="267" ht="15" customHeight="1" s="19">
      <c r="A267" s="31" t="n">
        <v>2022</v>
      </c>
      <c r="B267" s="31" t="n">
        <v>85</v>
      </c>
      <c r="C267" s="31" t="inlineStr">
        <is>
          <t>ハーレクイーンの2021</t>
        </is>
      </c>
      <c r="D267" s="31" t="inlineStr">
        <is>
          <t>レドンホール (Leadenhall)</t>
        </is>
      </c>
      <c r="E267" s="31" t="inlineStr">
        <is>
          <t>リアルスティール</t>
        </is>
      </c>
      <c r="F267" s="31" t="inlineStr">
        <is>
          <t>メス</t>
        </is>
      </c>
      <c r="G267" s="31" t="n">
        <v>1</v>
      </c>
      <c r="H267" s="31" t="n">
        <v>8</v>
      </c>
      <c r="I267" s="31" t="n">
        <v>3</v>
      </c>
      <c r="J267" s="31" t="n">
        <v>3600</v>
      </c>
      <c r="K267" s="31" t="n">
        <v>434</v>
      </c>
      <c r="L267" s="31" t="n">
        <v>156</v>
      </c>
      <c r="M267" s="31" t="n">
        <v>183</v>
      </c>
      <c r="N267" s="31" t="n">
        <v>18.6</v>
      </c>
      <c r="O267" s="31" t="n">
        <v>400</v>
      </c>
      <c r="P267" s="31" t="inlineStr">
        <is>
          <t>斉藤崇史</t>
        </is>
      </c>
      <c r="Q267" s="31" t="inlineStr">
        <is>
          <t>41戦1勝</t>
        </is>
      </c>
      <c r="R267" s="31" t="n">
        <v>0</v>
      </c>
      <c r="S267" s="31" t="n">
        <v>1</v>
      </c>
      <c r="T267" s="31" t="n">
        <v>83</v>
      </c>
      <c r="U267" s="31" t="n">
        <v>273</v>
      </c>
      <c r="V267" s="31" t="n">
        <v>0.1</v>
      </c>
      <c r="W267" s="31" t="n">
        <v>0</v>
      </c>
      <c r="X267" s="31" t="inlineStr">
        <is>
          <t>C12組--&gt;</t>
        </is>
      </c>
      <c r="Y267" s="31" t="n">
        <v>2</v>
      </c>
      <c r="Z267" s="31" t="inlineStr">
        <is>
          <t>価格帯・420kg+</t>
        </is>
      </c>
    </row>
    <row r="268" ht="15" customHeight="1" s="19">
      <c r="A268" s="31" t="n">
        <v>2022</v>
      </c>
      <c r="B268" s="31" t="n">
        <v>86</v>
      </c>
      <c r="C268" s="31" t="inlineStr">
        <is>
          <t>ローズノーブルの2021</t>
        </is>
      </c>
      <c r="D268" s="31" t="inlineStr">
        <is>
          <t>ラントリサント (Llantrisant)</t>
        </is>
      </c>
      <c r="E268" s="31" t="inlineStr">
        <is>
          <t>ドレフォン</t>
        </is>
      </c>
      <c r="F268" s="31" t="inlineStr">
        <is>
          <t>メス</t>
        </is>
      </c>
      <c r="G268" s="31" t="n">
        <v>3</v>
      </c>
      <c r="H268" s="31" t="n">
        <v>12</v>
      </c>
      <c r="I268" s="31" t="n">
        <v>6</v>
      </c>
      <c r="J268" s="31" t="n">
        <v>2800</v>
      </c>
      <c r="K268" s="31" t="n">
        <v>416</v>
      </c>
      <c r="L268" s="31" t="n">
        <v>154.5</v>
      </c>
      <c r="M268" s="31" t="n">
        <v>174</v>
      </c>
      <c r="N268" s="31" t="n">
        <v>19.2</v>
      </c>
      <c r="O268" s="31" t="n">
        <v>400</v>
      </c>
      <c r="P268" s="31" t="inlineStr">
        <is>
          <t>吉岡辰弥</t>
        </is>
      </c>
      <c r="Q268" s="31" t="inlineStr">
        <is>
          <t>31戦2勝</t>
        </is>
      </c>
      <c r="R268" s="31" t="n">
        <v>0</v>
      </c>
      <c r="S268" s="31" t="n">
        <v>2</v>
      </c>
      <c r="T268" s="31" t="n">
        <v>515</v>
      </c>
      <c r="U268" s="31" t="n">
        <v>245</v>
      </c>
      <c r="V268" s="31" t="n">
        <v>0.27</v>
      </c>
      <c r="W268" s="31" t="n">
        <v>0</v>
      </c>
      <c r="X268" s="31" t="inlineStr">
        <is>
          <t>スピカ賞涼太・友菜結婚記念杯--&gt;</t>
        </is>
      </c>
      <c r="Y268" s="31" t="n">
        <v>1</v>
      </c>
      <c r="Z268" s="31" t="inlineStr">
        <is>
          <t>価格帯</t>
        </is>
      </c>
    </row>
    <row r="269" ht="15" customHeight="1" s="19">
      <c r="A269" s="31" t="n">
        <v>2022</v>
      </c>
      <c r="B269" s="31" t="n">
        <v>87</v>
      </c>
      <c r="C269" s="31" t="inlineStr">
        <is>
          <t>ピエリーナの2021</t>
        </is>
      </c>
      <c r="D269" s="31" t="inlineStr">
        <is>
          <t>バレルターン (Barrel Turn)</t>
        </is>
      </c>
      <c r="E269" s="31" t="inlineStr">
        <is>
          <t>リオンディーズ</t>
        </is>
      </c>
      <c r="F269" s="31" t="inlineStr">
        <is>
          <t>牡</t>
        </is>
      </c>
      <c r="G269" s="31" t="n">
        <v>4</v>
      </c>
      <c r="H269" s="31" t="n">
        <v>10</v>
      </c>
      <c r="I269" s="31" t="n">
        <v>4</v>
      </c>
      <c r="J269" s="31" t="n">
        <v>2800</v>
      </c>
      <c r="K269" s="31" t="n">
        <v>429</v>
      </c>
      <c r="L269" s="31" t="n">
        <v>156.5</v>
      </c>
      <c r="M269" s="31" t="n">
        <v>173</v>
      </c>
      <c r="N269" s="31" t="n">
        <v>19.3</v>
      </c>
      <c r="O269" s="31" t="n">
        <v>400</v>
      </c>
      <c r="P269" s="31" t="inlineStr">
        <is>
          <t>茶木太樹</t>
        </is>
      </c>
      <c r="Q269" s="31" t="inlineStr">
        <is>
          <t>17戦3勝</t>
        </is>
      </c>
      <c r="R269" s="31" t="n">
        <v>3</v>
      </c>
      <c r="S269" s="31" t="n">
        <v>0</v>
      </c>
      <c r="T269" s="31" t="n">
        <v>7529</v>
      </c>
      <c r="U269" s="31" t="n">
        <v>0</v>
      </c>
      <c r="V269" s="31" t="n">
        <v>2.69</v>
      </c>
      <c r="W269" s="31" t="n">
        <v>0</v>
      </c>
      <c r="X269" s="31" t="inlineStr">
        <is>
          <t>25'木津川特別(2勝クラス)25'浄土平特別(1勝クラス)--&gt;</t>
        </is>
      </c>
      <c r="Y269" s="31" t="n">
        <v>3</v>
      </c>
      <c r="Z269" s="31" t="inlineStr">
        <is>
          <t>牡・価格帯・420kg+</t>
        </is>
      </c>
    </row>
    <row r="270" ht="15" customHeight="1" s="19">
      <c r="A270" s="31" t="n">
        <v>2022</v>
      </c>
      <c r="B270" s="31" t="n">
        <v>88</v>
      </c>
      <c r="C270" s="31" t="inlineStr">
        <is>
          <t>グレイシアブルーの2021</t>
        </is>
      </c>
      <c r="D270" s="31" t="inlineStr">
        <is>
          <t>パステルツェ (Pasterze)</t>
        </is>
      </c>
      <c r="E270" s="31" t="inlineStr">
        <is>
          <t>ルーラーシップ</t>
        </is>
      </c>
      <c r="F270" s="31" t="inlineStr">
        <is>
          <t>メス</t>
        </is>
      </c>
      <c r="G270" s="31" t="n">
        <v>4</v>
      </c>
      <c r="H270" s="31" t="n">
        <v>19</v>
      </c>
      <c r="I270" s="31" t="n">
        <v>12</v>
      </c>
      <c r="J270" s="31" t="n">
        <v>3200</v>
      </c>
      <c r="K270" s="31" t="n">
        <v>423</v>
      </c>
      <c r="L270" s="31" t="n">
        <v>148</v>
      </c>
      <c r="M270" s="31" t="n">
        <v>172</v>
      </c>
      <c r="N270" s="31" t="n">
        <v>19.5</v>
      </c>
      <c r="O270" s="31" t="n">
        <v>400</v>
      </c>
      <c r="P270" s="31" t="inlineStr">
        <is>
          <t>清水久詞</t>
        </is>
      </c>
      <c r="Q270" s="31" t="inlineStr">
        <is>
          <t>6戦0勝</t>
        </is>
      </c>
      <c r="R270" s="31" t="n">
        <v>0</v>
      </c>
      <c r="S270" s="31" t="n">
        <v>0</v>
      </c>
      <c r="T270" s="31" t="n">
        <v>138</v>
      </c>
      <c r="U270" s="31" t="n">
        <v>0</v>
      </c>
      <c r="V270" s="31" t="n">
        <v>0.04</v>
      </c>
      <c r="W270" s="31" t="n">
        <v>0</v>
      </c>
      <c r="X270" s="31" t="inlineStr">
        <is>
          <t>--&gt;</t>
        </is>
      </c>
      <c r="Y270" s="31" t="n">
        <v>2</v>
      </c>
      <c r="Z270" s="31" t="inlineStr">
        <is>
          <t>価格帯・420kg+</t>
        </is>
      </c>
    </row>
    <row r="271" ht="15" customHeight="1" s="19">
      <c r="A271" s="31" t="n">
        <v>2022</v>
      </c>
      <c r="B271" s="31" t="n">
        <v>89</v>
      </c>
      <c r="C271" s="31" t="inlineStr">
        <is>
          <t>ヴィアンローズの2021</t>
        </is>
      </c>
      <c r="D271" s="31" t="inlineStr">
        <is>
          <t>アルジャヒリ (Al Jahili)</t>
        </is>
      </c>
      <c r="E271" s="31" t="inlineStr">
        <is>
          <t>アルアイン</t>
        </is>
      </c>
      <c r="F271" s="31" t="inlineStr">
        <is>
          <t>牡</t>
        </is>
      </c>
      <c r="G271" s="31" t="n">
        <v>3</v>
      </c>
      <c r="H271" s="31" t="n">
        <v>19</v>
      </c>
      <c r="I271" s="31" t="n">
        <v>15</v>
      </c>
      <c r="J271" s="31" t="n">
        <v>2400</v>
      </c>
      <c r="K271" s="31" t="n">
        <v>430</v>
      </c>
      <c r="L271" s="31" t="n">
        <v>155</v>
      </c>
      <c r="M271" s="31" t="n">
        <v>173</v>
      </c>
      <c r="N271" s="31" t="n">
        <v>20</v>
      </c>
      <c r="O271" s="31" t="n">
        <v>400</v>
      </c>
      <c r="P271" s="31" t="inlineStr">
        <is>
          <t>石坂公一</t>
        </is>
      </c>
      <c r="Q271" s="31" t="inlineStr">
        <is>
          <t>46戦1勝</t>
        </is>
      </c>
      <c r="R271" s="31" t="n">
        <v>0</v>
      </c>
      <c r="S271" s="31" t="n">
        <v>1</v>
      </c>
      <c r="T271" s="31" t="n">
        <v>55</v>
      </c>
      <c r="U271" s="31" t="n">
        <v>166</v>
      </c>
      <c r="V271" s="31" t="n">
        <v>0.09</v>
      </c>
      <c r="W271" s="31" t="n">
        <v>0</v>
      </c>
      <c r="X271" s="31" t="inlineStr">
        <is>
          <t>SAGAリベンジャーズ--&gt;</t>
        </is>
      </c>
      <c r="Y271" s="31" t="n">
        <v>2</v>
      </c>
      <c r="Z271" s="31" t="inlineStr">
        <is>
          <t>牡・420kg+</t>
        </is>
      </c>
    </row>
    <row r="272" ht="15" customHeight="1" s="19">
      <c r="A272" s="31" t="n">
        <v>2022</v>
      </c>
      <c r="B272" s="31" t="n">
        <v>90</v>
      </c>
      <c r="C272" s="31" t="inlineStr">
        <is>
          <t>ムーングロウの2021</t>
        </is>
      </c>
      <c r="D272" s="31" t="inlineStr">
        <is>
          <t>アーマルコライト (Armalcolite)</t>
        </is>
      </c>
      <c r="E272" s="31" t="inlineStr">
        <is>
          <t>ジャスタウェイ</t>
        </is>
      </c>
      <c r="F272" s="31" t="inlineStr">
        <is>
          <t>牡</t>
        </is>
      </c>
      <c r="G272" s="31" t="n">
        <v>4</v>
      </c>
      <c r="H272" s="31" t="n">
        <v>12</v>
      </c>
      <c r="I272" s="31" t="n">
        <v>8</v>
      </c>
      <c r="J272" s="31" t="n">
        <v>3000</v>
      </c>
      <c r="K272" s="31" t="n">
        <v>465</v>
      </c>
      <c r="L272" s="31" t="n">
        <v>153</v>
      </c>
      <c r="M272" s="31" t="n">
        <v>174</v>
      </c>
      <c r="N272" s="31" t="n">
        <v>21</v>
      </c>
      <c r="O272" s="31" t="n">
        <v>400</v>
      </c>
      <c r="P272" s="31" t="inlineStr">
        <is>
          <t>寺島良</t>
        </is>
      </c>
      <c r="Q272" s="31" t="inlineStr">
        <is>
          <t>27戦3勝</t>
        </is>
      </c>
      <c r="R272" s="31" t="n">
        <v>3</v>
      </c>
      <c r="S272" s="31" t="n">
        <v>0</v>
      </c>
      <c r="T272" s="31" t="n">
        <v>4185</v>
      </c>
      <c r="U272" s="31" t="n">
        <v>124</v>
      </c>
      <c r="V272" s="31" t="n">
        <v>1.44</v>
      </c>
      <c r="W272" s="31" t="n">
        <v>0</v>
      </c>
      <c r="X272" s="31" t="inlineStr">
        <is>
          <t>25'4歳以上2勝クラス24'3歳以上1勝クラス--&gt;</t>
        </is>
      </c>
      <c r="Y272" s="31" t="n">
        <v>3</v>
      </c>
      <c r="Z272" s="31" t="inlineStr">
        <is>
          <t>牡・価格帯・420kg+</t>
        </is>
      </c>
    </row>
    <row r="273" ht="15" customHeight="1" s="19">
      <c r="A273" s="31" t="n">
        <v>2022</v>
      </c>
      <c r="B273" s="31" t="n">
        <v>91</v>
      </c>
      <c r="C273" s="31" t="inlineStr">
        <is>
          <t>ブリトマルティスの2021</t>
        </is>
      </c>
      <c r="D273" s="31" t="inlineStr">
        <is>
          <t>ラダマンテュス (Rhadamanthus)</t>
        </is>
      </c>
      <c r="E273" s="31" t="inlineStr">
        <is>
          <t>オルフェーヴル</t>
        </is>
      </c>
      <c r="F273" s="31" t="inlineStr">
        <is>
          <t>牡</t>
        </is>
      </c>
      <c r="G273" s="31" t="n">
        <v>5</v>
      </c>
      <c r="H273" s="31" t="n">
        <v>17</v>
      </c>
      <c r="I273" s="31" t="n">
        <v>9</v>
      </c>
      <c r="J273" s="31" t="n">
        <v>1400</v>
      </c>
      <c r="K273" s="31" t="n">
        <v>357</v>
      </c>
      <c r="L273" s="31" t="n">
        <v>150.5</v>
      </c>
      <c r="M273" s="31" t="n">
        <v>163.5</v>
      </c>
      <c r="N273" s="31" t="n">
        <v>18</v>
      </c>
      <c r="O273" s="31" t="n">
        <v>100</v>
      </c>
      <c r="P273" s="31" t="inlineStr">
        <is>
          <t>櫻井今朝</t>
        </is>
      </c>
      <c r="Q273" s="31" t="inlineStr">
        <is>
          <t>18戦0勝</t>
        </is>
      </c>
      <c r="R273" s="31" t="n">
        <v>0</v>
      </c>
      <c r="S273" s="31" t="n">
        <v>0</v>
      </c>
      <c r="T273" s="31" t="n">
        <v>0</v>
      </c>
      <c r="U273" s="31" t="n">
        <v>259</v>
      </c>
      <c r="V273" s="31" t="n">
        <v>0.18</v>
      </c>
      <c r="W273" s="31" t="n">
        <v>0</v>
      </c>
      <c r="X273" s="31" t="inlineStr">
        <is>
          <t>--&gt;</t>
        </is>
      </c>
      <c r="Y273" s="31" t="n">
        <v>1</v>
      </c>
      <c r="Z273" s="31" t="inlineStr">
        <is>
          <t>牡</t>
        </is>
      </c>
    </row>
    <row r="274" ht="15" customHeight="1" s="19">
      <c r="A274" s="31" t="n">
        <v>2022</v>
      </c>
      <c r="B274" s="31" t="n">
        <v>92</v>
      </c>
      <c r="C274" s="31" t="inlineStr">
        <is>
          <t>ココファンタジアの2021</t>
        </is>
      </c>
      <c r="D274" s="31" t="inlineStr">
        <is>
          <t>ブリゾ (Brizo)</t>
        </is>
      </c>
      <c r="E274" s="31" t="inlineStr">
        <is>
          <t>ニューイヤーズデイ</t>
        </is>
      </c>
      <c r="F274" s="31" t="inlineStr">
        <is>
          <t>メス</t>
        </is>
      </c>
      <c r="G274" s="31" t="n">
        <v>3</v>
      </c>
      <c r="H274" s="31" t="n">
        <v>8</v>
      </c>
      <c r="I274" s="31" t="n">
        <v>2</v>
      </c>
      <c r="J274" s="31" t="n">
        <v>1800</v>
      </c>
      <c r="K274" s="31" t="n">
        <v>430</v>
      </c>
      <c r="L274" s="31" t="n">
        <v>153</v>
      </c>
      <c r="M274" s="31" t="n">
        <v>174</v>
      </c>
      <c r="N274" s="31" t="n">
        <v>19.1</v>
      </c>
      <c r="O274" s="31" t="n">
        <v>100</v>
      </c>
      <c r="P274" s="31" t="inlineStr">
        <is>
          <t>田中淳司</t>
        </is>
      </c>
      <c r="Q274" s="31" t="inlineStr">
        <is>
          <t>1戦0勝</t>
        </is>
      </c>
      <c r="R274" s="31" t="n">
        <v>0</v>
      </c>
      <c r="S274" s="31" t="n">
        <v>0</v>
      </c>
      <c r="T274" s="31" t="n">
        <v>0</v>
      </c>
      <c r="U274" s="31" t="n">
        <v>0</v>
      </c>
      <c r="V274" s="31" t="n">
        <v>0</v>
      </c>
      <c r="W274" s="31" t="n">
        <v>0</v>
      </c>
      <c r="X274" s="31" t="inlineStr">
        <is>
          <t>--&gt;</t>
        </is>
      </c>
      <c r="Y274" s="31" t="n">
        <v>1</v>
      </c>
      <c r="Z274" s="31" t="inlineStr">
        <is>
          <t>420kg+</t>
        </is>
      </c>
    </row>
    <row r="275" ht="15" customHeight="1" s="19">
      <c r="A275" s="31" t="n">
        <v>2022</v>
      </c>
      <c r="B275" s="31" t="n">
        <v>93</v>
      </c>
      <c r="C275" s="31" t="inlineStr">
        <is>
          <t>ブランシェクールの2021</t>
        </is>
      </c>
      <c r="D275" s="31" t="inlineStr">
        <is>
          <t>クールソリッド (Coeur Solide)</t>
        </is>
      </c>
      <c r="E275" s="31" t="inlineStr">
        <is>
          <t>マインドユアビスケッツ</t>
        </is>
      </c>
      <c r="F275" s="31" t="inlineStr">
        <is>
          <t>牡</t>
        </is>
      </c>
      <c r="G275" s="31" t="n">
        <v>4</v>
      </c>
      <c r="H275" s="31" t="n">
        <v>8</v>
      </c>
      <c r="I275" s="31" t="n">
        <v>2</v>
      </c>
      <c r="J275" s="31" t="n">
        <v>2000</v>
      </c>
      <c r="K275" s="31" t="n">
        <v>475</v>
      </c>
      <c r="L275" s="31" t="n">
        <v>156.5</v>
      </c>
      <c r="M275" s="31" t="n">
        <v>177</v>
      </c>
      <c r="N275" s="31" t="n">
        <v>21.6</v>
      </c>
      <c r="O275" s="31" t="n">
        <v>100</v>
      </c>
      <c r="P275" s="31" t="inlineStr">
        <is>
          <t>藤田輝信</t>
        </is>
      </c>
      <c r="Q275" s="31" t="inlineStr">
        <is>
          <t>4戦1勝</t>
        </is>
      </c>
      <c r="R275" s="31" t="n">
        <v>0</v>
      </c>
      <c r="S275" s="31" t="n">
        <v>1</v>
      </c>
      <c r="T275" s="31" t="n">
        <v>0</v>
      </c>
      <c r="U275" s="31" t="n">
        <v>250</v>
      </c>
      <c r="V275" s="31" t="n">
        <v>0.12</v>
      </c>
      <c r="W275" s="31" t="n">
        <v>0</v>
      </c>
      <c r="X275" s="31" t="inlineStr">
        <is>
          <t>23'JRA認定フレッシュチャレンジ(新馬)--&gt;</t>
        </is>
      </c>
      <c r="Y275" s="31" t="n">
        <v>2</v>
      </c>
      <c r="Z275" s="31" t="inlineStr">
        <is>
          <t>牡・420kg+</t>
        </is>
      </c>
    </row>
    <row r="276" ht="15" customHeight="1" s="19">
      <c r="A276" s="31" t="n">
        <v>2022</v>
      </c>
      <c r="B276" s="31" t="n">
        <v>94</v>
      </c>
      <c r="C276" s="31" t="inlineStr">
        <is>
          <t>ジルズパレスの2021</t>
        </is>
      </c>
      <c r="D276" s="31" t="inlineStr">
        <is>
          <t>コールブランド (Collbrande)</t>
        </is>
      </c>
      <c r="E276" s="31" t="inlineStr">
        <is>
          <t>レッドファルクス</t>
        </is>
      </c>
      <c r="F276" s="31" t="inlineStr">
        <is>
          <t>牡</t>
        </is>
      </c>
      <c r="G276" s="31" t="n">
        <v>3</v>
      </c>
      <c r="H276" s="31" t="n">
        <v>8</v>
      </c>
      <c r="I276" s="31" t="n">
        <v>1</v>
      </c>
      <c r="J276" s="31" t="n">
        <v>1600</v>
      </c>
      <c r="K276" s="31" t="n">
        <v>463</v>
      </c>
      <c r="L276" s="31" t="n">
        <v>152</v>
      </c>
      <c r="M276" s="31" t="n">
        <v>172</v>
      </c>
      <c r="N276" s="31" t="n">
        <v>19.7</v>
      </c>
      <c r="O276" s="31" t="n">
        <v>100</v>
      </c>
      <c r="P276" s="31" t="inlineStr">
        <is>
          <t>川野勇馬</t>
        </is>
      </c>
      <c r="Q276" s="31" t="inlineStr">
        <is>
          <t>35戦6勝</t>
        </is>
      </c>
      <c r="R276" s="31" t="n">
        <v>0</v>
      </c>
      <c r="S276" s="31" t="n">
        <v>6</v>
      </c>
      <c r="T276" s="31" t="n">
        <v>0</v>
      </c>
      <c r="U276" s="31" t="n">
        <v>1646</v>
      </c>
      <c r="V276" s="31" t="n">
        <v>1.03</v>
      </c>
      <c r="W276" s="31" t="n">
        <v>0</v>
      </c>
      <c r="X276" s="31" t="inlineStr">
        <is>
          <t>23'JRA認定フレッシュチャレンジ(新馬)アウラー賞--&gt;</t>
        </is>
      </c>
      <c r="Y276" s="31" t="n">
        <v>2</v>
      </c>
      <c r="Z276" s="31" t="inlineStr">
        <is>
          <t>牡・420kg+</t>
        </is>
      </c>
    </row>
    <row r="277" ht="15" customHeight="1" s="19">
      <c r="A277" s="31" t="n">
        <v>2022</v>
      </c>
      <c r="B277" s="31" t="n">
        <v>95</v>
      </c>
      <c r="C277" s="31" t="inlineStr">
        <is>
          <t>ティッカーテープの2021</t>
        </is>
      </c>
      <c r="D277" s="31" t="inlineStr">
        <is>
          <t>グランドマーシャル (Grand Marshal)</t>
        </is>
      </c>
      <c r="E277" s="31" t="inlineStr">
        <is>
          <t>ワールドエース</t>
        </is>
      </c>
      <c r="F277" s="31" t="inlineStr">
        <is>
          <t>メス</t>
        </is>
      </c>
      <c r="G277" s="31" t="n">
        <v>5</v>
      </c>
      <c r="H277" s="31" t="n">
        <v>20</v>
      </c>
      <c r="I277" s="31" t="n">
        <v>12</v>
      </c>
      <c r="J277" s="31" t="n">
        <v>1000</v>
      </c>
      <c r="K277" s="31" t="n">
        <v>388</v>
      </c>
      <c r="L277" s="31" t="n">
        <v>145</v>
      </c>
      <c r="M277" s="31" t="n">
        <v>167.5</v>
      </c>
      <c r="N277" s="31" t="n">
        <v>17.9</v>
      </c>
      <c r="O277" s="31" t="n">
        <v>100</v>
      </c>
      <c r="P277" s="31" t="inlineStr">
        <is>
          <t>高橋純</t>
        </is>
      </c>
      <c r="Q277" s="31" t="inlineStr">
        <is>
          <t>13戦0勝</t>
        </is>
      </c>
      <c r="R277" s="31" t="n">
        <v>0</v>
      </c>
      <c r="S277" s="31" t="n">
        <v>0</v>
      </c>
      <c r="T277" s="31" t="n">
        <v>0</v>
      </c>
      <c r="U277" s="31" t="n">
        <v>261</v>
      </c>
      <c r="V277" s="31" t="n">
        <v>0.26</v>
      </c>
      <c r="W277" s="31" t="n">
        <v>0</v>
      </c>
      <c r="X277" s="31" t="inlineStr">
        <is>
          <t>--&gt;</t>
        </is>
      </c>
      <c r="Y277" s="31" t="n">
        <v>0</v>
      </c>
      <c r="Z277" s="31" t="inlineStr"/>
    </row>
    <row r="278">
      <c r="A278" s="31" t="n">
        <v>2023</v>
      </c>
      <c r="B278" s="31" t="n">
        <v>1</v>
      </c>
      <c r="C278" s="31" t="inlineStr">
        <is>
          <t>マリアライトの22</t>
        </is>
      </c>
      <c r="D278" s="31" t="inlineStr">
        <is>
          <t>ロジャリーマイン (Rogerley Mine)</t>
        </is>
      </c>
      <c r="E278" s="31" t="inlineStr">
        <is>
          <t>エピファネイア</t>
        </is>
      </c>
      <c r="F278" s="31" t="inlineStr">
        <is>
          <t>メス</t>
        </is>
      </c>
      <c r="G278" s="31" t="n">
        <v>3</v>
      </c>
      <c r="H278" s="31" t="n">
        <v>11</v>
      </c>
      <c r="I278" s="31" t="n">
        <v>1</v>
      </c>
      <c r="J278" s="31" t="n">
        <v>7000</v>
      </c>
      <c r="K278" s="31" t="n">
        <v>442</v>
      </c>
      <c r="L278" s="31" t="n">
        <v>149</v>
      </c>
      <c r="M278" s="31" t="n">
        <v>176</v>
      </c>
      <c r="N278" s="31" t="n">
        <v>19.5</v>
      </c>
      <c r="O278" s="31" t="n">
        <v>400</v>
      </c>
      <c r="P278" s="31" t="inlineStr">
        <is>
          <t>久保田</t>
        </is>
      </c>
      <c r="Q278" s="31" t="inlineStr">
        <is>
          <t>5戦2勝</t>
        </is>
      </c>
      <c r="R278" s="31" t="n">
        <v>2</v>
      </c>
      <c r="S278" s="31" t="n">
        <v>0</v>
      </c>
      <c r="T278" s="31" t="n">
        <v>1660</v>
      </c>
      <c r="U278" s="31" t="n">
        <v>0</v>
      </c>
      <c r="V278" s="31" t="n">
        <v>0.24</v>
      </c>
      <c r="W278" s="31" t="n">
        <v>0</v>
      </c>
      <c r="X278" s="31" t="inlineStr">
        <is>
          <t>26'3歳以上1勝クラス24'2歳未勝利--&gt;</t>
        </is>
      </c>
      <c r="Y278" s="31" t="n">
        <v>1</v>
      </c>
      <c r="Z278" s="31" t="inlineStr">
        <is>
          <t>420kg+</t>
        </is>
      </c>
    </row>
    <row r="279">
      <c r="A279" s="31" t="n">
        <v>2023</v>
      </c>
      <c r="B279" s="31" t="n">
        <v>2</v>
      </c>
      <c r="C279" s="31" t="inlineStr">
        <is>
          <t>ザズーの22</t>
        </is>
      </c>
      <c r="D279" s="31" t="inlineStr">
        <is>
          <t>アローグレイシャー (Arrow Glacier)</t>
        </is>
      </c>
      <c r="E279" s="31" t="inlineStr">
        <is>
          <t>キズナ</t>
        </is>
      </c>
      <c r="F279" s="31" t="inlineStr">
        <is>
          <t>牡</t>
        </is>
      </c>
      <c r="G279" s="31" t="n">
        <v>2</v>
      </c>
      <c r="H279" s="31" t="n">
        <v>14</v>
      </c>
      <c r="I279" s="31" t="n">
        <v>1</v>
      </c>
      <c r="J279" s="31" t="n">
        <v>5000</v>
      </c>
      <c r="K279" s="31" t="n">
        <v>488</v>
      </c>
      <c r="L279" s="31" t="n">
        <v>156</v>
      </c>
      <c r="M279" s="31" t="n">
        <v>182</v>
      </c>
      <c r="N279" s="31" t="n">
        <v>21.2</v>
      </c>
      <c r="O279" s="31" t="n">
        <v>400</v>
      </c>
      <c r="P279" s="31" t="inlineStr">
        <is>
          <t>板垣</t>
        </is>
      </c>
      <c r="Q279" s="31" t="inlineStr">
        <is>
          <t>6戦0勝</t>
        </is>
      </c>
      <c r="R279" s="31" t="n">
        <v>0</v>
      </c>
      <c r="S279" s="31" t="n">
        <v>0</v>
      </c>
      <c r="T279" s="31" t="n">
        <v>610</v>
      </c>
      <c r="U279" s="31" t="n">
        <v>38</v>
      </c>
      <c r="V279" s="31" t="n">
        <v>0.13</v>
      </c>
      <c r="W279" s="31" t="n">
        <v>0</v>
      </c>
      <c r="X279" s="31" t="inlineStr">
        <is>
          <t>--&gt;</t>
        </is>
      </c>
      <c r="Y279" s="31" t="n">
        <v>2</v>
      </c>
      <c r="Z279" s="31" t="inlineStr">
        <is>
          <t>牡・420kg+</t>
        </is>
      </c>
    </row>
    <row r="280">
      <c r="A280" s="31" t="n">
        <v>2023</v>
      </c>
      <c r="B280" s="31" t="n">
        <v>3</v>
      </c>
      <c r="C280" s="31" t="inlineStr">
        <is>
          <t>ヴィルデローゼの22</t>
        </is>
      </c>
      <c r="D280" s="31" t="inlineStr">
        <is>
          <t>グラフレナート (Graf Lennart)</t>
        </is>
      </c>
      <c r="E280" s="31" t="inlineStr">
        <is>
          <t>キズナ</t>
        </is>
      </c>
      <c r="F280" s="31" t="inlineStr">
        <is>
          <t>牡</t>
        </is>
      </c>
      <c r="G280" s="31" t="n">
        <v>3</v>
      </c>
      <c r="H280" s="31" t="n">
        <v>8</v>
      </c>
      <c r="I280" s="31" t="n">
        <v>1</v>
      </c>
      <c r="J280" s="31" t="n">
        <v>5000</v>
      </c>
      <c r="K280" s="31" t="n">
        <v>437</v>
      </c>
      <c r="L280" s="31" t="n">
        <v>154</v>
      </c>
      <c r="M280" s="31" t="n">
        <v>170.5</v>
      </c>
      <c r="N280" s="31" t="n">
        <v>21</v>
      </c>
      <c r="O280" s="31" t="n">
        <v>400</v>
      </c>
      <c r="P280" s="31" t="inlineStr">
        <is>
          <t>宮田</t>
        </is>
      </c>
      <c r="Q280" s="31" t="inlineStr">
        <is>
          <t>4戦0勝</t>
        </is>
      </c>
      <c r="R280" s="31" t="n">
        <v>0</v>
      </c>
      <c r="S280" s="31" t="n">
        <v>0</v>
      </c>
      <c r="T280" s="31" t="n">
        <v>224</v>
      </c>
      <c r="U280" s="31" t="n">
        <v>0</v>
      </c>
      <c r="V280" s="31" t="n">
        <v>0.04</v>
      </c>
      <c r="W280" s="31" t="n">
        <v>0</v>
      </c>
      <c r="X280" s="31" t="inlineStr">
        <is>
          <t>--&gt;</t>
        </is>
      </c>
      <c r="Y280" s="31" t="n">
        <v>2</v>
      </c>
      <c r="Z280" s="31" t="inlineStr">
        <is>
          <t>牡・420kg+</t>
        </is>
      </c>
    </row>
    <row r="281">
      <c r="A281" s="31" t="n">
        <v>2023</v>
      </c>
      <c r="B281" s="31" t="n">
        <v>4</v>
      </c>
      <c r="C281" s="31" t="inlineStr">
        <is>
          <t>ラドラーダの22</t>
        </is>
      </c>
      <c r="D281" s="31" t="inlineStr">
        <is>
          <t>ブリッサドラーダ (Brisa Dorada)</t>
        </is>
      </c>
      <c r="E281" s="31" t="inlineStr">
        <is>
          <t>キズナ</t>
        </is>
      </c>
      <c r="F281" s="31" t="inlineStr">
        <is>
          <t>メス</t>
        </is>
      </c>
      <c r="G281" s="31" t="n">
        <v>1</v>
      </c>
      <c r="H281" s="31" t="n">
        <v>16</v>
      </c>
      <c r="I281" s="31" t="n">
        <v>1</v>
      </c>
      <c r="J281" s="31" t="n">
        <v>7000</v>
      </c>
      <c r="K281" s="31" t="n">
        <v>409</v>
      </c>
      <c r="L281" s="31" t="n">
        <v>154</v>
      </c>
      <c r="M281" s="31" t="n">
        <v>173</v>
      </c>
      <c r="N281" s="31" t="n">
        <v>19.4</v>
      </c>
      <c r="O281" s="31" t="n">
        <v>400</v>
      </c>
      <c r="P281" s="31" t="inlineStr">
        <is>
          <t>木村</t>
        </is>
      </c>
      <c r="Q281" s="31" t="inlineStr">
        <is>
          <t>0戦0勝</t>
        </is>
      </c>
      <c r="R281" s="31" t="n">
        <v>0</v>
      </c>
      <c r="S281" s="31" t="n">
        <v>0</v>
      </c>
      <c r="T281" s="31" t="n">
        <v>0</v>
      </c>
      <c r="U281" s="31" t="n">
        <v>0</v>
      </c>
      <c r="V281" s="31" t="n">
        <v>0</v>
      </c>
      <c r="W281" s="31" t="n">
        <v>0</v>
      </c>
      <c r="X281" s="31" t="inlineStr">
        <is>
          <t>--&gt;</t>
        </is>
      </c>
      <c r="Y281" s="31" t="n">
        <v>0</v>
      </c>
      <c r="Z281" s="31" t="inlineStr"/>
    </row>
    <row r="282">
      <c r="A282" s="31" t="n">
        <v>2023</v>
      </c>
      <c r="B282" s="31" t="n">
        <v>5</v>
      </c>
      <c r="C282" s="31" t="inlineStr">
        <is>
          <t>アヴェンチュラの22</t>
        </is>
      </c>
      <c r="D282" s="31" t="inlineStr">
        <is>
          <t>ナヴィガトーレ (Navigatore)</t>
        </is>
      </c>
      <c r="E282" s="31" t="inlineStr">
        <is>
          <t>ロードカナロア</t>
        </is>
      </c>
      <c r="F282" s="31" t="inlineStr">
        <is>
          <t>牡</t>
        </is>
      </c>
      <c r="G282" s="31" t="n">
        <v>4</v>
      </c>
      <c r="H282" s="31" t="n">
        <v>14</v>
      </c>
      <c r="I282" s="31" t="n">
        <v>1</v>
      </c>
      <c r="J282" s="31" t="n">
        <v>6000</v>
      </c>
      <c r="K282" s="31" t="n">
        <v>489</v>
      </c>
      <c r="L282" s="31" t="n">
        <v>159</v>
      </c>
      <c r="M282" s="31" t="n">
        <v>178</v>
      </c>
      <c r="N282" s="31" t="n">
        <v>22</v>
      </c>
      <c r="O282" s="31" t="n">
        <v>400</v>
      </c>
      <c r="P282" s="31" t="inlineStr">
        <is>
          <t>田村</t>
        </is>
      </c>
      <c r="Q282" s="31" t="inlineStr">
        <is>
          <t>1戦0勝</t>
        </is>
      </c>
      <c r="R282" s="31" t="n">
        <v>0</v>
      </c>
      <c r="S282" s="31" t="n">
        <v>0</v>
      </c>
      <c r="T282" s="31" t="n">
        <v>0</v>
      </c>
      <c r="U282" s="31" t="n">
        <v>0</v>
      </c>
      <c r="V282" s="31" t="n">
        <v>0</v>
      </c>
      <c r="W282" s="31" t="n">
        <v>0</v>
      </c>
      <c r="X282" s="31" t="inlineStr">
        <is>
          <t>--&gt;</t>
        </is>
      </c>
      <c r="Y282" s="31" t="n">
        <v>2</v>
      </c>
      <c r="Z282" s="31" t="inlineStr">
        <is>
          <t>牡・420kg+</t>
        </is>
      </c>
    </row>
    <row r="283">
      <c r="A283" s="31" t="n">
        <v>2023</v>
      </c>
      <c r="B283" s="31" t="n">
        <v>6</v>
      </c>
      <c r="C283" s="31" t="inlineStr">
        <is>
          <t>アドマイヤセプターの22</t>
        </is>
      </c>
      <c r="D283" s="31" t="inlineStr">
        <is>
          <t>グロスビーク (Grosbeak)</t>
        </is>
      </c>
      <c r="E283" s="31" t="inlineStr">
        <is>
          <t>シスキン</t>
        </is>
      </c>
      <c r="F283" s="31" t="inlineStr">
        <is>
          <t>牡</t>
        </is>
      </c>
      <c r="G283" s="31" t="n">
        <v>1</v>
      </c>
      <c r="H283" s="31" t="n">
        <v>14</v>
      </c>
      <c r="I283" s="31" t="n">
        <v>1</v>
      </c>
      <c r="J283" s="31" t="n">
        <v>5000</v>
      </c>
      <c r="K283" s="31" t="n">
        <v>440</v>
      </c>
      <c r="L283" s="31" t="n">
        <v>158.5</v>
      </c>
      <c r="M283" s="31" t="n">
        <v>176.5</v>
      </c>
      <c r="N283" s="31" t="n">
        <v>20.4</v>
      </c>
      <c r="O283" s="31" t="n">
        <v>400</v>
      </c>
      <c r="P283" s="31" t="inlineStr">
        <is>
          <t>田中博</t>
        </is>
      </c>
      <c r="Q283" s="31" t="inlineStr">
        <is>
          <t>8戦2勝</t>
        </is>
      </c>
      <c r="R283" s="31" t="n">
        <v>2</v>
      </c>
      <c r="S283" s="31" t="n">
        <v>0</v>
      </c>
      <c r="T283" s="31" t="n">
        <v>2265</v>
      </c>
      <c r="U283" s="31" t="n">
        <v>0</v>
      </c>
      <c r="V283" s="31" t="n">
        <v>0.45</v>
      </c>
      <c r="W283" s="31" t="n">
        <v>0</v>
      </c>
      <c r="X283" s="31" t="inlineStr">
        <is>
          <t>26'4歳以上1勝クラス25'3歳未勝利--&gt;</t>
        </is>
      </c>
      <c r="Y283" s="31" t="n">
        <v>2</v>
      </c>
      <c r="Z283" s="31" t="inlineStr">
        <is>
          <t>牡・420kg+</t>
        </is>
      </c>
    </row>
    <row r="284">
      <c r="A284" s="31" t="n">
        <v>2023</v>
      </c>
      <c r="B284" s="31" t="n">
        <v>7</v>
      </c>
      <c r="C284" s="31" t="inlineStr">
        <is>
          <t>リリーバレロの22</t>
        </is>
      </c>
      <c r="D284" s="31" t="inlineStr">
        <is>
          <t>リバーバレイト (Reverberate)</t>
        </is>
      </c>
      <c r="E284" s="31" t="inlineStr">
        <is>
          <t>キタサンブラック</t>
        </is>
      </c>
      <c r="F284" s="31" t="inlineStr">
        <is>
          <t>牡</t>
        </is>
      </c>
      <c r="G284" s="31" t="n">
        <v>4</v>
      </c>
      <c r="H284" s="31" t="n">
        <v>7</v>
      </c>
      <c r="I284" s="31" t="n">
        <v>1</v>
      </c>
      <c r="J284" s="31" t="n">
        <v>8000</v>
      </c>
      <c r="K284" s="31" t="n">
        <v>400</v>
      </c>
      <c r="L284" s="31" t="n">
        <v>154</v>
      </c>
      <c r="M284" s="31" t="n">
        <v>168</v>
      </c>
      <c r="N284" s="31" t="n">
        <v>20.1</v>
      </c>
      <c r="O284" s="31" t="n">
        <v>400</v>
      </c>
      <c r="P284" s="31" t="inlineStr">
        <is>
          <t>堀</t>
        </is>
      </c>
      <c r="Q284" s="31" t="inlineStr">
        <is>
          <t>5戦3勝</t>
        </is>
      </c>
      <c r="R284" s="31" t="n">
        <v>3</v>
      </c>
      <c r="S284" s="31" t="n">
        <v>0</v>
      </c>
      <c r="T284" s="31" t="n">
        <v>2800</v>
      </c>
      <c r="U284" s="31" t="n">
        <v>0</v>
      </c>
      <c r="V284" s="31" t="n">
        <v>0.35</v>
      </c>
      <c r="W284" s="31" t="n">
        <v>0</v>
      </c>
      <c r="X284" s="31" t="inlineStr">
        <is>
          <t>26'4歳以上2勝クラス25'3歳以上1勝クラス--&gt;</t>
        </is>
      </c>
      <c r="Y284" s="31" t="n">
        <v>1</v>
      </c>
      <c r="Z284" s="31" t="inlineStr">
        <is>
          <t>牡</t>
        </is>
      </c>
    </row>
    <row r="285">
      <c r="A285" s="31" t="n">
        <v>2023</v>
      </c>
      <c r="B285" s="31" t="n">
        <v>8</v>
      </c>
      <c r="C285" s="31" t="inlineStr">
        <is>
          <t>ピュアブリーゼの22</t>
        </is>
      </c>
      <c r="D285" s="31" t="inlineStr">
        <is>
          <t>ヴァーナリー (Vernally)</t>
        </is>
      </c>
      <c r="E285" s="31" t="inlineStr">
        <is>
          <t>キタサンブラック</t>
        </is>
      </c>
      <c r="F285" s="31" t="inlineStr">
        <is>
          <t>メス</t>
        </is>
      </c>
      <c r="G285" s="31" t="n">
        <v>3</v>
      </c>
      <c r="H285" s="31" t="n">
        <v>14</v>
      </c>
      <c r="I285" s="31" t="n">
        <v>1</v>
      </c>
      <c r="J285" s="31" t="n">
        <v>4000</v>
      </c>
      <c r="K285" s="31" t="n">
        <v>416</v>
      </c>
      <c r="L285" s="31" t="n">
        <v>155.5</v>
      </c>
      <c r="M285" s="31" t="n">
        <v>174</v>
      </c>
      <c r="N285" s="31" t="n">
        <v>18.8</v>
      </c>
      <c r="O285" s="31" t="n">
        <v>400</v>
      </c>
      <c r="P285" s="31" t="inlineStr">
        <is>
          <t>浅利</t>
        </is>
      </c>
      <c r="Q285" s="31" t="inlineStr">
        <is>
          <t>9戦3勝</t>
        </is>
      </c>
      <c r="R285" s="31" t="n">
        <v>0</v>
      </c>
      <c r="S285" s="31" t="n">
        <v>3</v>
      </c>
      <c r="T285" s="31" t="n">
        <v>280</v>
      </c>
      <c r="U285" s="31" t="n">
        <v>214</v>
      </c>
      <c r="V285" s="31" t="n">
        <v>0.12</v>
      </c>
      <c r="W285" s="31" t="n">
        <v>0</v>
      </c>
      <c r="X285" s="31" t="inlineStr">
        <is>
          <t>本命チョコは甘くて苦いB6組--&gt;</t>
        </is>
      </c>
      <c r="Y285" s="31" t="n">
        <v>0</v>
      </c>
      <c r="Z285" s="31" t="inlineStr"/>
    </row>
    <row r="286">
      <c r="A286" s="31" t="n">
        <v>2023</v>
      </c>
      <c r="B286" s="31" t="n">
        <v>9</v>
      </c>
      <c r="C286" s="31" t="inlineStr">
        <is>
          <t>ファナティックの22</t>
        </is>
      </c>
      <c r="D286" s="31" t="inlineStr">
        <is>
          <t>ファンダム (Fandom)</t>
        </is>
      </c>
      <c r="E286" s="31" t="inlineStr">
        <is>
          <t>サートゥルナーリア</t>
        </is>
      </c>
      <c r="F286" s="31" t="inlineStr">
        <is>
          <t>牡</t>
        </is>
      </c>
      <c r="G286" s="31" t="n">
        <v>2</v>
      </c>
      <c r="H286" s="31" t="n">
        <v>6</v>
      </c>
      <c r="I286" s="31" t="n">
        <v>1</v>
      </c>
      <c r="J286" s="31" t="n">
        <v>3600</v>
      </c>
      <c r="K286" s="31" t="n">
        <v>460</v>
      </c>
      <c r="L286" s="31" t="n">
        <v>153</v>
      </c>
      <c r="M286" s="31" t="n">
        <v>174.5</v>
      </c>
      <c r="N286" s="31" t="n">
        <v>20.6</v>
      </c>
      <c r="O286" s="31" t="n">
        <v>400</v>
      </c>
      <c r="P286" s="31" t="inlineStr">
        <is>
          <t>辻</t>
        </is>
      </c>
      <c r="Q286" s="31" t="inlineStr">
        <is>
          <t>8戦3勝</t>
        </is>
      </c>
      <c r="R286" s="31" t="n">
        <v>3</v>
      </c>
      <c r="S286" s="31" t="n">
        <v>0</v>
      </c>
      <c r="T286" s="31" t="n">
        <v>8191</v>
      </c>
      <c r="U286" s="31" t="n">
        <v>0</v>
      </c>
      <c r="V286" s="31" t="n">
        <v>2.28</v>
      </c>
      <c r="W286" s="31" t="n">
        <v>1</v>
      </c>
      <c r="X286" s="31" t="inlineStr">
        <is>
          <t>25'毎日杯(G3)25'ジュニアC(L)--&gt;</t>
        </is>
      </c>
      <c r="Y286" s="31" t="n">
        <v>3</v>
      </c>
      <c r="Z286" s="31" t="inlineStr">
        <is>
          <t>牡・価格帯・420kg+</t>
        </is>
      </c>
    </row>
    <row r="287">
      <c r="A287" s="31" t="n">
        <v>2023</v>
      </c>
      <c r="B287" s="31" t="n">
        <v>10</v>
      </c>
      <c r="C287" s="31" t="inlineStr">
        <is>
          <t>クルミナルの22</t>
        </is>
      </c>
      <c r="D287" s="31" t="inlineStr">
        <is>
          <t>レイニング (Reigning)</t>
        </is>
      </c>
      <c r="E287" s="31" t="inlineStr">
        <is>
          <t>サートゥルナーリア</t>
        </is>
      </c>
      <c r="F287" s="31" t="inlineStr">
        <is>
          <t>牡</t>
        </is>
      </c>
      <c r="G287" s="31" t="n">
        <v>5</v>
      </c>
      <c r="H287" s="31" t="n">
        <v>10</v>
      </c>
      <c r="I287" s="31" t="n">
        <v>1</v>
      </c>
      <c r="J287" s="31" t="n">
        <v>7000</v>
      </c>
      <c r="K287" s="31" t="n">
        <v>425</v>
      </c>
      <c r="L287" s="31" t="n">
        <v>148.5</v>
      </c>
      <c r="M287" s="31" t="n">
        <v>169</v>
      </c>
      <c r="N287" s="31" t="n">
        <v>19.8</v>
      </c>
      <c r="O287" s="31" t="n">
        <v>400</v>
      </c>
      <c r="P287" s="31" t="inlineStr">
        <is>
          <t>森一</t>
        </is>
      </c>
      <c r="Q287" s="31" t="inlineStr">
        <is>
          <t>9戦4勝</t>
        </is>
      </c>
      <c r="R287" s="31" t="n">
        <v>4</v>
      </c>
      <c r="S287" s="31" t="n">
        <v>0</v>
      </c>
      <c r="T287" s="31" t="n">
        <v>6237</v>
      </c>
      <c r="U287" s="31" t="n">
        <v>0</v>
      </c>
      <c r="V287" s="31" t="n">
        <v>0.89</v>
      </c>
      <c r="W287" s="31" t="n">
        <v>0</v>
      </c>
      <c r="X287" s="31" t="inlineStr">
        <is>
          <t>26'IFHA杯むらさき賞(3勝クラス)25'オリエンタル賞(2勝クラス)--&gt;</t>
        </is>
      </c>
      <c r="Y287" s="31" t="n">
        <v>2</v>
      </c>
      <c r="Z287" s="31" t="inlineStr">
        <is>
          <t>牡・420kg+</t>
        </is>
      </c>
    </row>
    <row r="288">
      <c r="A288" s="31" t="n">
        <v>2023</v>
      </c>
      <c r="B288" s="31" t="n">
        <v>11</v>
      </c>
      <c r="C288" s="31" t="inlineStr">
        <is>
          <t>パルクデラモールの22</t>
        </is>
      </c>
      <c r="D288" s="31" t="inlineStr">
        <is>
          <t>コスタヴェルデ (Costa Verde)</t>
        </is>
      </c>
      <c r="E288" s="31" t="inlineStr">
        <is>
          <t>サートゥルナーリア</t>
        </is>
      </c>
      <c r="F288" s="31" t="inlineStr">
        <is>
          <t>メス</t>
        </is>
      </c>
      <c r="G288" s="31" t="n">
        <v>3</v>
      </c>
      <c r="H288" s="31" t="n">
        <v>7</v>
      </c>
      <c r="I288" s="31" t="n">
        <v>1</v>
      </c>
      <c r="J288" s="31" t="n">
        <v>2400</v>
      </c>
      <c r="K288" s="31" t="n">
        <v>386</v>
      </c>
      <c r="L288" s="31" t="n">
        <v>147</v>
      </c>
      <c r="M288" s="31" t="n">
        <v>165</v>
      </c>
      <c r="N288" s="31" t="n">
        <v>19</v>
      </c>
      <c r="O288" s="31" t="n">
        <v>400</v>
      </c>
      <c r="P288" s="31" t="inlineStr">
        <is>
          <t>鹿戸</t>
        </is>
      </c>
      <c r="Q288" s="31" t="inlineStr">
        <is>
          <t>9戦1勝</t>
        </is>
      </c>
      <c r="R288" s="31" t="n">
        <v>0</v>
      </c>
      <c r="S288" s="31" t="n">
        <v>1</v>
      </c>
      <c r="T288" s="31" t="n">
        <v>0</v>
      </c>
      <c r="U288" s="31" t="n">
        <v>52</v>
      </c>
      <c r="V288" s="31" t="n">
        <v>0.02</v>
      </c>
      <c r="W288" s="31" t="n">
        <v>0</v>
      </c>
      <c r="X288" s="31" t="inlineStr">
        <is>
          <t>C23組--&gt;</t>
        </is>
      </c>
      <c r="Y288" s="31" t="n">
        <v>0</v>
      </c>
      <c r="Z288" s="31" t="inlineStr"/>
    </row>
    <row r="289">
      <c r="A289" s="31" t="n">
        <v>2023</v>
      </c>
      <c r="B289" s="31" t="n">
        <v>12</v>
      </c>
      <c r="C289" s="31" t="inlineStr">
        <is>
          <t>メリートの22</t>
        </is>
      </c>
      <c r="D289" s="31" t="inlineStr">
        <is>
          <t>サザリーバスター (Southerly Buster)</t>
        </is>
      </c>
      <c r="E289" s="31" t="inlineStr">
        <is>
          <t>ドゥラメンテ</t>
        </is>
      </c>
      <c r="F289" s="31" t="inlineStr">
        <is>
          <t>牡</t>
        </is>
      </c>
      <c r="G289" s="31" t="n">
        <v>2</v>
      </c>
      <c r="H289" s="31" t="n">
        <v>16</v>
      </c>
      <c r="I289" s="31" t="n">
        <v>1</v>
      </c>
      <c r="J289" s="31" t="n">
        <v>5000</v>
      </c>
      <c r="K289" s="31" t="n">
        <v>550</v>
      </c>
      <c r="L289" s="31" t="n">
        <v>165</v>
      </c>
      <c r="M289" s="31" t="n">
        <v>189</v>
      </c>
      <c r="N289" s="31" t="n">
        <v>22</v>
      </c>
      <c r="O289" s="31" t="n">
        <v>400</v>
      </c>
      <c r="P289" s="31" t="inlineStr">
        <is>
          <t>萩原</t>
        </is>
      </c>
      <c r="Q289" s="31" t="inlineStr">
        <is>
          <t>1戦0勝</t>
        </is>
      </c>
      <c r="R289" s="31" t="n">
        <v>0</v>
      </c>
      <c r="S289" s="31" t="n">
        <v>0</v>
      </c>
      <c r="T289" s="31" t="n">
        <v>0</v>
      </c>
      <c r="U289" s="31" t="n">
        <v>0</v>
      </c>
      <c r="V289" s="31" t="n">
        <v>0</v>
      </c>
      <c r="W289" s="31" t="n">
        <v>0</v>
      </c>
      <c r="X289" s="31" t="inlineStr">
        <is>
          <t>--&gt;</t>
        </is>
      </c>
      <c r="Y289" s="31" t="n">
        <v>2</v>
      </c>
      <c r="Z289" s="31" t="inlineStr">
        <is>
          <t>牡・420kg+</t>
        </is>
      </c>
    </row>
    <row r="290">
      <c r="A290" s="31" t="n">
        <v>2023</v>
      </c>
      <c r="B290" s="31" t="n">
        <v>13</v>
      </c>
      <c r="C290" s="31" t="inlineStr">
        <is>
          <t>レオパルディナの22</t>
        </is>
      </c>
      <c r="D290" s="31" t="inlineStr">
        <is>
          <t>キアラメンテ (Chiaramente)</t>
        </is>
      </c>
      <c r="E290" s="31" t="inlineStr">
        <is>
          <t>ドゥラメンテ</t>
        </is>
      </c>
      <c r="F290" s="31" t="inlineStr">
        <is>
          <t>メス</t>
        </is>
      </c>
      <c r="G290" s="31" t="n">
        <v>1</v>
      </c>
      <c r="H290" s="31" t="n">
        <v>10</v>
      </c>
      <c r="I290" s="31" t="n">
        <v>1</v>
      </c>
      <c r="J290" s="31" t="n">
        <v>4000</v>
      </c>
      <c r="K290" s="31" t="n">
        <v>449</v>
      </c>
      <c r="L290" s="31" t="n">
        <v>156</v>
      </c>
      <c r="M290" s="31" t="n">
        <v>174</v>
      </c>
      <c r="N290" s="31" t="n">
        <v>19.4</v>
      </c>
      <c r="O290" s="31" t="n">
        <v>400</v>
      </c>
      <c r="P290" s="31" t="inlineStr">
        <is>
          <t>鹿戸</t>
        </is>
      </c>
      <c r="Q290" s="31" t="inlineStr">
        <is>
          <t>9戦1勝</t>
        </is>
      </c>
      <c r="R290" s="31" t="n">
        <v>1</v>
      </c>
      <c r="S290" s="31" t="n">
        <v>0</v>
      </c>
      <c r="T290" s="31" t="n">
        <v>2115</v>
      </c>
      <c r="U290" s="31" t="n">
        <v>0</v>
      </c>
      <c r="V290" s="31" t="n">
        <v>0.53</v>
      </c>
      <c r="W290" s="31" t="n">
        <v>0</v>
      </c>
      <c r="X290" s="31" t="inlineStr">
        <is>
          <t>25'3歳未勝利--&gt;</t>
        </is>
      </c>
      <c r="Y290" s="31" t="n">
        <v>1</v>
      </c>
      <c r="Z290" s="31" t="inlineStr">
        <is>
          <t>420kg+</t>
        </is>
      </c>
    </row>
    <row r="291">
      <c r="A291" s="31" t="n">
        <v>2023</v>
      </c>
      <c r="B291" s="31" t="n">
        <v>14</v>
      </c>
      <c r="C291" s="31" t="inlineStr">
        <is>
          <t>シングルゲイズの22</t>
        </is>
      </c>
      <c r="D291" s="31" t="inlineStr">
        <is>
          <t>テンダールック (Tender Look)</t>
        </is>
      </c>
      <c r="E291" s="31" t="inlineStr">
        <is>
          <t>ドゥラメンテ</t>
        </is>
      </c>
      <c r="F291" s="31" t="inlineStr">
        <is>
          <t>メス</t>
        </is>
      </c>
      <c r="G291" s="31" t="n">
        <v>1</v>
      </c>
      <c r="H291" s="31" t="n">
        <v>10</v>
      </c>
      <c r="I291" s="31" t="n">
        <v>1</v>
      </c>
      <c r="J291" s="31" t="n">
        <v>5000</v>
      </c>
      <c r="K291" s="31" t="n">
        <v>413</v>
      </c>
      <c r="L291" s="31" t="n">
        <v>154</v>
      </c>
      <c r="M291" s="31" t="n">
        <v>170.5</v>
      </c>
      <c r="N291" s="31" t="n">
        <v>19.6</v>
      </c>
      <c r="O291" s="31" t="n">
        <v>400</v>
      </c>
      <c r="P291" s="31" t="inlineStr">
        <is>
          <t>木村</t>
        </is>
      </c>
      <c r="Q291" s="31" t="inlineStr">
        <is>
          <t>5戦1勝</t>
        </is>
      </c>
      <c r="R291" s="31" t="n">
        <v>1</v>
      </c>
      <c r="S291" s="31" t="n">
        <v>0</v>
      </c>
      <c r="T291" s="31" t="n">
        <v>856</v>
      </c>
      <c r="U291" s="31" t="n">
        <v>0</v>
      </c>
      <c r="V291" s="31" t="n">
        <v>0.17</v>
      </c>
      <c r="W291" s="31" t="n">
        <v>0</v>
      </c>
      <c r="X291" s="31" t="inlineStr">
        <is>
          <t>25'3歳未勝利--&gt;</t>
        </is>
      </c>
      <c r="Y291" s="31" t="n">
        <v>0</v>
      </c>
      <c r="Z291" s="31" t="inlineStr"/>
    </row>
    <row r="292">
      <c r="A292" s="31" t="n">
        <v>2023</v>
      </c>
      <c r="B292" s="31" t="n">
        <v>15</v>
      </c>
      <c r="C292" s="31" t="inlineStr">
        <is>
          <t>ミリッサの22</t>
        </is>
      </c>
      <c r="D292" s="31" t="inlineStr">
        <is>
          <t>アルガムベイ (Arugam Bay)</t>
        </is>
      </c>
      <c r="E292" s="31" t="inlineStr">
        <is>
          <t>モーリス</t>
        </is>
      </c>
      <c r="F292" s="31" t="inlineStr">
        <is>
          <t>牡</t>
        </is>
      </c>
      <c r="G292" s="31" t="n">
        <v>3</v>
      </c>
      <c r="H292" s="31" t="n">
        <v>8</v>
      </c>
      <c r="I292" s="31" t="n">
        <v>1</v>
      </c>
      <c r="J292" s="31" t="n">
        <v>5000</v>
      </c>
      <c r="K292" s="31" t="n">
        <v>431</v>
      </c>
      <c r="L292" s="31" t="n">
        <v>152</v>
      </c>
      <c r="M292" s="31" t="n">
        <v>174</v>
      </c>
      <c r="N292" s="31" t="n">
        <v>20.1</v>
      </c>
      <c r="O292" s="31" t="n">
        <v>400</v>
      </c>
      <c r="P292" s="31" t="inlineStr">
        <is>
          <t>鹿戸</t>
        </is>
      </c>
      <c r="Q292" s="31" t="inlineStr">
        <is>
          <t>7戦0勝</t>
        </is>
      </c>
      <c r="R292" s="31" t="n">
        <v>0</v>
      </c>
      <c r="S292" s="31" t="n">
        <v>0</v>
      </c>
      <c r="T292" s="31" t="n">
        <v>764</v>
      </c>
      <c r="U292" s="31" t="n">
        <v>0</v>
      </c>
      <c r="V292" s="31" t="n">
        <v>0.15</v>
      </c>
      <c r="W292" s="31" t="n">
        <v>0</v>
      </c>
      <c r="X292" s="31" t="inlineStr">
        <is>
          <t>--&gt;</t>
        </is>
      </c>
      <c r="Y292" s="31" t="n">
        <v>2</v>
      </c>
      <c r="Z292" s="31" t="inlineStr">
        <is>
          <t>牡・420kg+</t>
        </is>
      </c>
    </row>
    <row r="293">
      <c r="A293" s="31" t="n">
        <v>2023</v>
      </c>
      <c r="B293" s="31" t="n">
        <v>16</v>
      </c>
      <c r="C293" s="31" t="inlineStr">
        <is>
          <t>レッドレグナントの22</t>
        </is>
      </c>
      <c r="D293" s="31" t="inlineStr">
        <is>
          <t>ジョリーレーヌ (Jolie Reine)</t>
        </is>
      </c>
      <c r="E293" s="31" t="inlineStr">
        <is>
          <t>モーリス</t>
        </is>
      </c>
      <c r="F293" s="31" t="inlineStr">
        <is>
          <t>メス</t>
        </is>
      </c>
      <c r="G293" s="31" t="n">
        <v>1</v>
      </c>
      <c r="H293" s="31" t="n">
        <v>7</v>
      </c>
      <c r="I293" s="31" t="n">
        <v>1</v>
      </c>
      <c r="J293" s="31" t="n">
        <v>3200</v>
      </c>
      <c r="K293" s="31" t="n">
        <v>444</v>
      </c>
      <c r="L293" s="31" t="n">
        <v>150</v>
      </c>
      <c r="M293" s="31" t="n">
        <v>176</v>
      </c>
      <c r="N293" s="31" t="n">
        <v>19.5</v>
      </c>
      <c r="O293" s="31" t="n">
        <v>400</v>
      </c>
      <c r="P293" s="31" t="inlineStr">
        <is>
          <t>大竹</t>
        </is>
      </c>
      <c r="Q293" s="31" t="inlineStr">
        <is>
          <t>6戦1勝</t>
        </is>
      </c>
      <c r="R293" s="31" t="n">
        <v>1</v>
      </c>
      <c r="S293" s="31" t="n">
        <v>0</v>
      </c>
      <c r="T293" s="31" t="n">
        <v>1310</v>
      </c>
      <c r="U293" s="31" t="n">
        <v>0</v>
      </c>
      <c r="V293" s="31" t="n">
        <v>0.41</v>
      </c>
      <c r="W293" s="31" t="n">
        <v>0</v>
      </c>
      <c r="X293" s="31" t="inlineStr">
        <is>
          <t>24'2歳新馬--&gt;</t>
        </is>
      </c>
      <c r="Y293" s="31" t="n">
        <v>2</v>
      </c>
      <c r="Z293" s="31" t="inlineStr">
        <is>
          <t>価格帯・420kg+</t>
        </is>
      </c>
    </row>
    <row r="294">
      <c r="A294" s="31" t="n">
        <v>2023</v>
      </c>
      <c r="B294" s="31" t="n">
        <v>17</v>
      </c>
      <c r="C294" s="31" t="inlineStr">
        <is>
          <t>ルヴォワールの22</t>
        </is>
      </c>
      <c r="D294" s="31" t="inlineStr">
        <is>
          <t>ヴィルナタール (Ville Natale)</t>
        </is>
      </c>
      <c r="E294" s="31" t="inlineStr">
        <is>
          <t>レイデオロ</t>
        </is>
      </c>
      <c r="F294" s="31" t="inlineStr">
        <is>
          <t>メス</t>
        </is>
      </c>
      <c r="G294" s="31" t="n">
        <v>1</v>
      </c>
      <c r="H294" s="31" t="n">
        <v>8</v>
      </c>
      <c r="I294" s="31" t="n">
        <v>1</v>
      </c>
      <c r="J294" s="31" t="n">
        <v>4000</v>
      </c>
      <c r="K294" s="31" t="n">
        <v>451</v>
      </c>
      <c r="L294" s="31" t="n">
        <v>157</v>
      </c>
      <c r="M294" s="31" t="n">
        <v>174.5</v>
      </c>
      <c r="N294" s="31" t="n">
        <v>20</v>
      </c>
      <c r="O294" s="31" t="n">
        <v>400</v>
      </c>
      <c r="P294" s="31" t="inlineStr">
        <is>
          <t>角田</t>
        </is>
      </c>
      <c r="Q294" s="31" t="inlineStr">
        <is>
          <t>9戦1勝</t>
        </is>
      </c>
      <c r="R294" s="31" t="n">
        <v>0</v>
      </c>
      <c r="S294" s="31" t="n">
        <v>1</v>
      </c>
      <c r="T294" s="31" t="n">
        <v>220</v>
      </c>
      <c r="U294" s="31" t="n">
        <v>98</v>
      </c>
      <c r="V294" s="31" t="n">
        <v>0.08</v>
      </c>
      <c r="W294" s="31" t="n">
        <v>0</v>
      </c>
      <c r="X294" s="31" t="inlineStr">
        <is>
          <t>C11組--&gt;</t>
        </is>
      </c>
      <c r="Y294" s="31" t="n">
        <v>1</v>
      </c>
      <c r="Z294" s="31" t="inlineStr">
        <is>
          <t>420kg+</t>
        </is>
      </c>
    </row>
    <row r="295">
      <c r="A295" s="31" t="n">
        <v>2023</v>
      </c>
      <c r="B295" s="31" t="n">
        <v>18</v>
      </c>
      <c r="C295" s="31" t="inlineStr">
        <is>
          <t>リラヴァティの22</t>
        </is>
      </c>
      <c r="D295" s="31" t="inlineStr">
        <is>
          <t>サラスヴァティー (Sarasvati)</t>
        </is>
      </c>
      <c r="E295" s="31" t="inlineStr">
        <is>
          <t>レイデオロ</t>
        </is>
      </c>
      <c r="F295" s="31" t="inlineStr">
        <is>
          <t>メス</t>
        </is>
      </c>
      <c r="G295" s="31" t="n">
        <v>2</v>
      </c>
      <c r="H295" s="31" t="n">
        <v>11</v>
      </c>
      <c r="I295" s="31" t="n">
        <v>1</v>
      </c>
      <c r="J295" s="31" t="n">
        <v>4000</v>
      </c>
      <c r="K295" s="31" t="n">
        <v>463</v>
      </c>
      <c r="L295" s="31" t="n">
        <v>158</v>
      </c>
      <c r="M295" s="31" t="n">
        <v>179</v>
      </c>
      <c r="N295" s="31" t="n">
        <v>19.5</v>
      </c>
      <c r="O295" s="31" t="n">
        <v>400</v>
      </c>
      <c r="P295" s="31" t="inlineStr">
        <is>
          <t>森一</t>
        </is>
      </c>
      <c r="Q295" s="31" t="inlineStr">
        <is>
          <t>6戦2勝</t>
        </is>
      </c>
      <c r="R295" s="31" t="n">
        <v>2</v>
      </c>
      <c r="S295" s="31" t="n">
        <v>0</v>
      </c>
      <c r="T295" s="31" t="n">
        <v>2280</v>
      </c>
      <c r="U295" s="31" t="n">
        <v>0</v>
      </c>
      <c r="V295" s="31" t="n">
        <v>0.57</v>
      </c>
      <c r="W295" s="31" t="n">
        <v>0</v>
      </c>
      <c r="X295" s="31" t="inlineStr">
        <is>
          <t>26'4歳以上1勝クラス25'3歳以上1勝クラス--&gt;</t>
        </is>
      </c>
      <c r="Y295" s="31" t="n">
        <v>1</v>
      </c>
      <c r="Z295" s="31" t="inlineStr">
        <is>
          <t>420kg+</t>
        </is>
      </c>
    </row>
    <row r="296">
      <c r="A296" s="31" t="n">
        <v>2023</v>
      </c>
      <c r="B296" s="31" t="n">
        <v>19</v>
      </c>
      <c r="C296" s="31" t="inlineStr">
        <is>
          <t>ベルディーヴァの22</t>
        </is>
      </c>
      <c r="D296" s="31" t="inlineStr">
        <is>
          <t>シャンソンドール (Chanson d'Or)</t>
        </is>
      </c>
      <c r="E296" s="31" t="inlineStr">
        <is>
          <t>レイデオロ</t>
        </is>
      </c>
      <c r="F296" s="31" t="inlineStr">
        <is>
          <t>メス</t>
        </is>
      </c>
      <c r="G296" s="31" t="n">
        <v>4</v>
      </c>
      <c r="H296" s="31" t="n">
        <v>10</v>
      </c>
      <c r="I296" s="31" t="n">
        <v>1</v>
      </c>
      <c r="J296" s="31" t="n">
        <v>3600</v>
      </c>
      <c r="K296" s="31" t="n">
        <v>427</v>
      </c>
      <c r="L296" s="31" t="n">
        <v>153</v>
      </c>
      <c r="M296" s="31" t="n">
        <v>175</v>
      </c>
      <c r="N296" s="31" t="n">
        <v>19.2</v>
      </c>
      <c r="O296" s="31" t="n">
        <v>400</v>
      </c>
      <c r="P296" s="31" t="inlineStr">
        <is>
          <t>奥村武</t>
        </is>
      </c>
      <c r="Q296" s="31" t="inlineStr">
        <is>
          <t>7戦2勝</t>
        </is>
      </c>
      <c r="R296" s="31" t="n">
        <v>2</v>
      </c>
      <c r="S296" s="31" t="n">
        <v>0</v>
      </c>
      <c r="T296" s="31" t="n">
        <v>3131</v>
      </c>
      <c r="U296" s="31" t="n">
        <v>0</v>
      </c>
      <c r="V296" s="31" t="n">
        <v>0.87</v>
      </c>
      <c r="W296" s="31" t="n">
        <v>0</v>
      </c>
      <c r="X296" s="31" t="inlineStr">
        <is>
          <t>26'4歳以上1勝クラス25'3歳未勝利--&gt;</t>
        </is>
      </c>
      <c r="Y296" s="31" t="n">
        <v>2</v>
      </c>
      <c r="Z296" s="31" t="inlineStr">
        <is>
          <t>価格帯・420kg+</t>
        </is>
      </c>
    </row>
    <row r="297">
      <c r="A297" s="31" t="n">
        <v>2023</v>
      </c>
      <c r="B297" s="31" t="n">
        <v>20</v>
      </c>
      <c r="C297" s="31" t="inlineStr">
        <is>
          <t>エールデュレーヴの22</t>
        </is>
      </c>
      <c r="D297" s="31" t="inlineStr">
        <is>
          <t>アーラグラシア (Ala Gracia)</t>
        </is>
      </c>
      <c r="E297" s="31" t="inlineStr">
        <is>
          <t>レイデオロ</t>
        </is>
      </c>
      <c r="F297" s="31" t="inlineStr">
        <is>
          <t>メス</t>
        </is>
      </c>
      <c r="G297" s="31" t="n">
        <v>4</v>
      </c>
      <c r="H297" s="31" t="n">
        <v>9</v>
      </c>
      <c r="I297" s="31" t="n">
        <v>1</v>
      </c>
      <c r="J297" s="31" t="n">
        <v>3600</v>
      </c>
      <c r="K297" s="31" t="n">
        <v>413</v>
      </c>
      <c r="L297" s="31" t="n">
        <v>151</v>
      </c>
      <c r="M297" s="31" t="n">
        <v>171.5</v>
      </c>
      <c r="N297" s="31" t="n">
        <v>19.2</v>
      </c>
      <c r="O297" s="31" t="n">
        <v>400</v>
      </c>
      <c r="P297" s="31" t="inlineStr">
        <is>
          <t>角田</t>
        </is>
      </c>
      <c r="Q297" s="31" t="inlineStr">
        <is>
          <t>12戦2勝</t>
        </is>
      </c>
      <c r="R297" s="31" t="n">
        <v>0</v>
      </c>
      <c r="S297" s="31" t="n">
        <v>2</v>
      </c>
      <c r="T297" s="31" t="n">
        <v>844</v>
      </c>
      <c r="U297" s="31" t="n">
        <v>123</v>
      </c>
      <c r="V297" s="31" t="n">
        <v>0.27</v>
      </c>
      <c r="W297" s="31" t="n">
        <v>0</v>
      </c>
      <c r="X297" s="31" t="inlineStr">
        <is>
          <t>BAOOへGO!賞B3組--&gt;</t>
        </is>
      </c>
      <c r="Y297" s="31" t="n">
        <v>1</v>
      </c>
      <c r="Z297" s="31" t="inlineStr">
        <is>
          <t>価格帯</t>
        </is>
      </c>
    </row>
    <row r="298">
      <c r="A298" s="31" t="n">
        <v>2023</v>
      </c>
      <c r="B298" s="31" t="n">
        <v>21</v>
      </c>
      <c r="C298" s="31" t="inlineStr">
        <is>
          <t>トーコーユズキの22</t>
        </is>
      </c>
      <c r="D298" s="31" t="inlineStr">
        <is>
          <t>バギーウィップ (Buggy Whip)</t>
        </is>
      </c>
      <c r="E298" s="31" t="inlineStr">
        <is>
          <t>ナダル</t>
        </is>
      </c>
      <c r="F298" s="31" t="inlineStr">
        <is>
          <t>牡</t>
        </is>
      </c>
      <c r="G298" s="31" t="n">
        <v>4</v>
      </c>
      <c r="H298" s="31" t="n">
        <v>13</v>
      </c>
      <c r="I298" s="31" t="n">
        <v>1</v>
      </c>
      <c r="J298" s="31" t="n">
        <v>4000</v>
      </c>
      <c r="K298" s="31" t="n">
        <v>451</v>
      </c>
      <c r="L298" s="31" t="n">
        <v>154.5</v>
      </c>
      <c r="M298" s="31" t="n">
        <v>174</v>
      </c>
      <c r="N298" s="31" t="n">
        <v>21.3</v>
      </c>
      <c r="O298" s="31" t="n">
        <v>400</v>
      </c>
      <c r="P298" s="31" t="inlineStr">
        <is>
          <t>川島</t>
        </is>
      </c>
      <c r="Q298" s="31" t="inlineStr">
        <is>
          <t>7戦3勝</t>
        </is>
      </c>
      <c r="R298" s="31" t="n">
        <v>3</v>
      </c>
      <c r="S298" s="31" t="n">
        <v>0</v>
      </c>
      <c r="T298" s="31" t="n">
        <v>4105</v>
      </c>
      <c r="U298" s="31" t="n">
        <v>0</v>
      </c>
      <c r="V298" s="31" t="n">
        <v>1.03</v>
      </c>
      <c r="W298" s="31" t="n">
        <v>0</v>
      </c>
      <c r="X298" s="31" t="inlineStr">
        <is>
          <t>25'檜山特別(2勝クラス)25'わらび賞(1勝クラス)--&gt;</t>
        </is>
      </c>
      <c r="Y298" s="31" t="n">
        <v>2</v>
      </c>
      <c r="Z298" s="31" t="inlineStr">
        <is>
          <t>牡・420kg+</t>
        </is>
      </c>
    </row>
    <row r="299">
      <c r="A299" s="31" t="n">
        <v>2023</v>
      </c>
      <c r="B299" s="31" t="n">
        <v>22</v>
      </c>
      <c r="C299" s="31" t="inlineStr">
        <is>
          <t>グリューヴァインの22</t>
        </is>
      </c>
      <c r="D299" s="31" t="inlineStr">
        <is>
          <t>ヴィンブルレー (Vin Brule)</t>
        </is>
      </c>
      <c r="E299" s="31" t="inlineStr">
        <is>
          <t>ナダル</t>
        </is>
      </c>
      <c r="F299" s="31" t="inlineStr">
        <is>
          <t>メス</t>
        </is>
      </c>
      <c r="G299" s="31" t="n">
        <v>3</v>
      </c>
      <c r="H299" s="31" t="n">
        <v>10</v>
      </c>
      <c r="I299" s="31" t="n">
        <v>1</v>
      </c>
      <c r="J299" s="31" t="n">
        <v>2400</v>
      </c>
      <c r="K299" s="31" t="n">
        <v>443</v>
      </c>
      <c r="L299" s="31" t="n">
        <v>155.5</v>
      </c>
      <c r="M299" s="31" t="n">
        <v>179</v>
      </c>
      <c r="N299" s="31" t="n">
        <v>19.8</v>
      </c>
      <c r="O299" s="31" t="n">
        <v>400</v>
      </c>
      <c r="P299" s="31" t="inlineStr">
        <is>
          <t>矢野</t>
        </is>
      </c>
      <c r="Q299" s="31" t="inlineStr">
        <is>
          <t>8戦2勝</t>
        </is>
      </c>
      <c r="R299" s="31" t="n">
        <v>2</v>
      </c>
      <c r="S299" s="31" t="n">
        <v>0</v>
      </c>
      <c r="T299" s="31" t="n">
        <v>2063</v>
      </c>
      <c r="U299" s="31" t="n">
        <v>0</v>
      </c>
      <c r="V299" s="31" t="n">
        <v>0.86</v>
      </c>
      <c r="W299" s="31" t="n">
        <v>0</v>
      </c>
      <c r="X299" s="31" t="inlineStr">
        <is>
          <t>26'4歳以上1勝クラス24'2歳未勝利--&gt;</t>
        </is>
      </c>
      <c r="Y299" s="31" t="n">
        <v>1</v>
      </c>
      <c r="Z299" s="31" t="inlineStr">
        <is>
          <t>420kg+</t>
        </is>
      </c>
    </row>
    <row r="300">
      <c r="A300" s="31" t="n">
        <v>2023</v>
      </c>
      <c r="B300" s="31" t="n">
        <v>23</v>
      </c>
      <c r="C300" s="31" t="inlineStr">
        <is>
          <t>ディアデラマドレの22</t>
        </is>
      </c>
      <c r="D300" s="31" t="inlineStr">
        <is>
          <t>カーラデマドレ (Cara de Madre)</t>
        </is>
      </c>
      <c r="E300" s="31" t="inlineStr">
        <is>
          <t>ドレフォン</t>
        </is>
      </c>
      <c r="F300" s="31" t="inlineStr">
        <is>
          <t>メス</t>
        </is>
      </c>
      <c r="G300" s="31" t="n">
        <v>3</v>
      </c>
      <c r="H300" s="31" t="n">
        <v>12</v>
      </c>
      <c r="I300" s="31" t="n">
        <v>1</v>
      </c>
      <c r="J300" s="31" t="n">
        <v>5000</v>
      </c>
      <c r="K300" s="31" t="n">
        <v>477</v>
      </c>
      <c r="L300" s="31" t="n">
        <v>155.5</v>
      </c>
      <c r="M300" s="31" t="n">
        <v>178</v>
      </c>
      <c r="N300" s="31" t="n">
        <v>20.8</v>
      </c>
      <c r="O300" s="31" t="n">
        <v>400</v>
      </c>
      <c r="P300" s="31" t="inlineStr">
        <is>
          <t>矢嶋</t>
        </is>
      </c>
      <c r="Q300" s="31" t="inlineStr">
        <is>
          <t>10戦2勝</t>
        </is>
      </c>
      <c r="R300" s="31" t="n">
        <v>2</v>
      </c>
      <c r="S300" s="31" t="n">
        <v>0</v>
      </c>
      <c r="T300" s="31" t="n">
        <v>2180</v>
      </c>
      <c r="U300" s="31" t="n">
        <v>0</v>
      </c>
      <c r="V300" s="31" t="n">
        <v>0.44</v>
      </c>
      <c r="W300" s="31" t="n">
        <v>0</v>
      </c>
      <c r="X300" s="31" t="inlineStr">
        <is>
          <t>25'3歳以上1勝クラス24'2歳未勝利--&gt;</t>
        </is>
      </c>
      <c r="Y300" s="31" t="n">
        <v>1</v>
      </c>
      <c r="Z300" s="31" t="inlineStr">
        <is>
          <t>420kg+</t>
        </is>
      </c>
    </row>
    <row r="301">
      <c r="A301" s="31" t="n">
        <v>2023</v>
      </c>
      <c r="B301" s="31" t="n">
        <v>24</v>
      </c>
      <c r="C301" s="31" t="inlineStr">
        <is>
          <t>マスターワークの22</t>
        </is>
      </c>
      <c r="D301" s="31" t="inlineStr">
        <is>
          <t>マイスターヴェルク (Meisterwerk)</t>
        </is>
      </c>
      <c r="E301" s="31" t="inlineStr">
        <is>
          <t>ドレフォン</t>
        </is>
      </c>
      <c r="F301" s="31" t="inlineStr">
        <is>
          <t>メス</t>
        </is>
      </c>
      <c r="G301" s="31" t="n">
        <v>4</v>
      </c>
      <c r="H301" s="31" t="n">
        <v>5</v>
      </c>
      <c r="I301" s="31" t="n">
        <v>1</v>
      </c>
      <c r="J301" s="31" t="n">
        <v>2400</v>
      </c>
      <c r="K301" s="31" t="n">
        <v>444</v>
      </c>
      <c r="L301" s="31" t="n">
        <v>154.5</v>
      </c>
      <c r="M301" s="31" t="n">
        <v>177.5</v>
      </c>
      <c r="N301" s="31" t="n">
        <v>19.7</v>
      </c>
      <c r="O301" s="31" t="n">
        <v>400</v>
      </c>
      <c r="P301" s="31" t="inlineStr">
        <is>
          <t>勢司</t>
        </is>
      </c>
      <c r="Q301" s="31" t="inlineStr">
        <is>
          <t>11戦2勝</t>
        </is>
      </c>
      <c r="R301" s="31" t="n">
        <v>2</v>
      </c>
      <c r="S301" s="31" t="n">
        <v>0</v>
      </c>
      <c r="T301" s="31" t="n">
        <v>3016</v>
      </c>
      <c r="U301" s="31" t="n">
        <v>0</v>
      </c>
      <c r="V301" s="31" t="n">
        <v>1.26</v>
      </c>
      <c r="W301" s="31" t="n">
        <v>0</v>
      </c>
      <c r="X301" s="31" t="inlineStr">
        <is>
          <t>25'3歳以上1勝クラス24'2歳未勝利--&gt;</t>
        </is>
      </c>
      <c r="Y301" s="31" t="n">
        <v>1</v>
      </c>
      <c r="Z301" s="31" t="inlineStr">
        <is>
          <t>420kg+</t>
        </is>
      </c>
    </row>
    <row r="302">
      <c r="A302" s="31" t="n">
        <v>2023</v>
      </c>
      <c r="B302" s="31" t="n">
        <v>25</v>
      </c>
      <c r="C302" s="31" t="inlineStr">
        <is>
          <t>カーミングエフェクトの22</t>
        </is>
      </c>
      <c r="D302" s="31" t="inlineStr">
        <is>
          <t>カーミングライツ (Calming Lights)</t>
        </is>
      </c>
      <c r="E302" s="31" t="inlineStr">
        <is>
          <t>サトノダイヤモンド</t>
        </is>
      </c>
      <c r="F302" s="31" t="inlineStr">
        <is>
          <t>牡</t>
        </is>
      </c>
      <c r="G302" s="31" t="n">
        <v>2</v>
      </c>
      <c r="H302" s="31" t="n">
        <v>6</v>
      </c>
      <c r="I302" s="31" t="n">
        <v>1</v>
      </c>
      <c r="J302" s="31" t="n">
        <v>3200</v>
      </c>
      <c r="K302" s="31" t="n">
        <v>495</v>
      </c>
      <c r="L302" s="31" t="n">
        <v>158</v>
      </c>
      <c r="M302" s="31" t="n">
        <v>176.5</v>
      </c>
      <c r="N302" s="31" t="n">
        <v>21.4</v>
      </c>
      <c r="O302" s="31" t="n">
        <v>400</v>
      </c>
      <c r="P302" s="31" t="inlineStr">
        <is>
          <t>小島</t>
        </is>
      </c>
      <c r="Q302" s="31" t="inlineStr">
        <is>
          <t>9戦2勝</t>
        </is>
      </c>
      <c r="R302" s="31" t="n">
        <v>2</v>
      </c>
      <c r="S302" s="31" t="n">
        <v>0</v>
      </c>
      <c r="T302" s="31" t="n">
        <v>2697</v>
      </c>
      <c r="U302" s="31" t="n">
        <v>0</v>
      </c>
      <c r="V302" s="31" t="n">
        <v>0.84</v>
      </c>
      <c r="W302" s="31" t="n">
        <v>0</v>
      </c>
      <c r="X302" s="31" t="inlineStr">
        <is>
          <t>25'磐梯山特別(1勝クラス)25'3歳未勝利--&gt;</t>
        </is>
      </c>
      <c r="Y302" s="31" t="n">
        <v>3</v>
      </c>
      <c r="Z302" s="31" t="inlineStr">
        <is>
          <t>牡・価格帯・420kg+</t>
        </is>
      </c>
    </row>
    <row r="303">
      <c r="A303" s="31" t="n">
        <v>2023</v>
      </c>
      <c r="B303" s="31" t="n">
        <v>26</v>
      </c>
      <c r="C303" s="31" t="inlineStr">
        <is>
          <t>キャヴァルドレの22</t>
        </is>
      </c>
      <c r="D303" s="31" t="inlineStr">
        <is>
          <t>パヴェリング (Pave Ring)</t>
        </is>
      </c>
      <c r="E303" s="31" t="inlineStr">
        <is>
          <t>サトノダイヤモンド</t>
        </is>
      </c>
      <c r="F303" s="31" t="inlineStr">
        <is>
          <t>メス</t>
        </is>
      </c>
      <c r="G303" s="31" t="n">
        <v>1</v>
      </c>
      <c r="H303" s="31" t="n">
        <v>8</v>
      </c>
      <c r="I303" s="31" t="n">
        <v>1</v>
      </c>
      <c r="J303" s="31" t="n">
        <v>3000</v>
      </c>
      <c r="K303" s="31" t="n">
        <v>451</v>
      </c>
      <c r="L303" s="31" t="n">
        <v>159.5</v>
      </c>
      <c r="M303" s="31" t="n">
        <v>175</v>
      </c>
      <c r="N303" s="31" t="n">
        <v>20.3</v>
      </c>
      <c r="O303" s="31" t="n">
        <v>400</v>
      </c>
      <c r="P303" s="31" t="inlineStr">
        <is>
          <t>角田</t>
        </is>
      </c>
      <c r="Q303" s="31" t="inlineStr">
        <is>
          <t>7戦1勝</t>
        </is>
      </c>
      <c r="R303" s="31" t="n">
        <v>0</v>
      </c>
      <c r="S303" s="31" t="n">
        <v>1</v>
      </c>
      <c r="T303" s="31" t="n">
        <v>720</v>
      </c>
      <c r="U303" s="31" t="n">
        <v>65</v>
      </c>
      <c r="V303" s="31" t="n">
        <v>0.26</v>
      </c>
      <c r="W303" s="31" t="n">
        <v>0</v>
      </c>
      <c r="X303" s="31" t="inlineStr">
        <is>
          <t>萩露賞--&gt;</t>
        </is>
      </c>
      <c r="Y303" s="31" t="n">
        <v>2</v>
      </c>
      <c r="Z303" s="31" t="inlineStr">
        <is>
          <t>価格帯・420kg+</t>
        </is>
      </c>
    </row>
    <row r="304">
      <c r="A304" s="31" t="n">
        <v>2023</v>
      </c>
      <c r="B304" s="31" t="n">
        <v>27</v>
      </c>
      <c r="C304" s="31" t="inlineStr">
        <is>
          <t>マイミスリリーの22</t>
        </is>
      </c>
      <c r="D304" s="31" t="inlineStr">
        <is>
          <t>ロートホルン (Rod Horn)</t>
        </is>
      </c>
      <c r="E304" s="31" t="inlineStr">
        <is>
          <t>サトノダイヤモンド</t>
        </is>
      </c>
      <c r="F304" s="31" t="inlineStr">
        <is>
          <t>メス</t>
        </is>
      </c>
      <c r="G304" s="31" t="n">
        <v>2</v>
      </c>
      <c r="H304" s="31" t="n">
        <v>7</v>
      </c>
      <c r="I304" s="31" t="n">
        <v>1</v>
      </c>
      <c r="J304" s="31" t="n">
        <v>3200</v>
      </c>
      <c r="K304" s="31" t="n">
        <v>484</v>
      </c>
      <c r="L304" s="31" t="n">
        <v>155</v>
      </c>
      <c r="M304" s="31" t="n">
        <v>184</v>
      </c>
      <c r="N304" s="31" t="n">
        <v>21</v>
      </c>
      <c r="O304" s="31" t="n">
        <v>400</v>
      </c>
      <c r="P304" s="31" t="inlineStr">
        <is>
          <t>加藤征</t>
        </is>
      </c>
      <c r="Q304" s="31" t="inlineStr">
        <is>
          <t>9戦2勝</t>
        </is>
      </c>
      <c r="R304" s="31" t="n">
        <v>2</v>
      </c>
      <c r="S304" s="31" t="n">
        <v>0</v>
      </c>
      <c r="T304" s="31" t="n">
        <v>1754</v>
      </c>
      <c r="U304" s="31" t="n">
        <v>0</v>
      </c>
      <c r="V304" s="31" t="n">
        <v>0.55</v>
      </c>
      <c r="W304" s="31" t="n">
        <v>0</v>
      </c>
      <c r="X304" s="31" t="inlineStr">
        <is>
          <t>25'3歳以上1勝クラス24'2歳未勝利--&gt;</t>
        </is>
      </c>
      <c r="Y304" s="31" t="n">
        <v>2</v>
      </c>
      <c r="Z304" s="31" t="inlineStr">
        <is>
          <t>価格帯・420kg+</t>
        </is>
      </c>
    </row>
    <row r="305">
      <c r="A305" s="31" t="n">
        <v>2023</v>
      </c>
      <c r="B305" s="31" t="n">
        <v>28</v>
      </c>
      <c r="C305" s="31" t="inlineStr">
        <is>
          <t>ワシントンレガシーの22</t>
        </is>
      </c>
      <c r="D305" s="31" t="inlineStr">
        <is>
          <t>マウントバーノン (Mount Vernon)</t>
        </is>
      </c>
      <c r="E305" s="31" t="inlineStr">
        <is>
          <t>ルヴァンスレーヴ</t>
        </is>
      </c>
      <c r="F305" s="31" t="inlineStr">
        <is>
          <t>牡</t>
        </is>
      </c>
      <c r="G305" s="31" t="n">
        <v>2</v>
      </c>
      <c r="H305" s="31" t="n">
        <v>8</v>
      </c>
      <c r="I305" s="31" t="n">
        <v>1</v>
      </c>
      <c r="J305" s="31" t="n">
        <v>3000</v>
      </c>
      <c r="K305" s="31" t="n">
        <v>474</v>
      </c>
      <c r="L305" s="31" t="n">
        <v>157</v>
      </c>
      <c r="M305" s="31" t="n">
        <v>180</v>
      </c>
      <c r="N305" s="31" t="n">
        <v>21.4</v>
      </c>
      <c r="O305" s="31" t="n">
        <v>400</v>
      </c>
      <c r="P305" s="31" t="inlineStr">
        <is>
          <t>戸田</t>
        </is>
      </c>
      <c r="Q305" s="31" t="inlineStr">
        <is>
          <t>10戦2勝</t>
        </is>
      </c>
      <c r="R305" s="31" t="n">
        <v>2</v>
      </c>
      <c r="S305" s="31" t="n">
        <v>0</v>
      </c>
      <c r="T305" s="31" t="n">
        <v>1950</v>
      </c>
      <c r="U305" s="31" t="n">
        <v>0</v>
      </c>
      <c r="V305" s="31" t="n">
        <v>0.65</v>
      </c>
      <c r="W305" s="31" t="n">
        <v>0</v>
      </c>
      <c r="X305" s="31" t="inlineStr">
        <is>
          <t>26'4歳以上1勝クラス25'3歳未勝利--&gt;</t>
        </is>
      </c>
      <c r="Y305" s="31" t="n">
        <v>3</v>
      </c>
      <c r="Z305" s="31" t="inlineStr">
        <is>
          <t>牡・価格帯・420kg+</t>
        </is>
      </c>
    </row>
    <row r="306">
      <c r="A306" s="31" t="n">
        <v>2023</v>
      </c>
      <c r="B306" s="31" t="n">
        <v>29</v>
      </c>
      <c r="C306" s="31" t="inlineStr">
        <is>
          <t>セレナズヴォイスの22</t>
        </is>
      </c>
      <c r="D306" s="31" t="inlineStr">
        <is>
          <t>リッスンクロース (Listen Close)</t>
        </is>
      </c>
      <c r="E306" s="31" t="inlineStr">
        <is>
          <t>ルヴァンスレーヴ</t>
        </is>
      </c>
      <c r="F306" s="31" t="inlineStr">
        <is>
          <t>メス</t>
        </is>
      </c>
      <c r="G306" s="31" t="n">
        <v>2</v>
      </c>
      <c r="H306" s="31" t="n">
        <v>5</v>
      </c>
      <c r="I306" s="31" t="n">
        <v>1</v>
      </c>
      <c r="J306" s="31" t="n">
        <v>2400</v>
      </c>
      <c r="K306" s="31" t="n">
        <v>457</v>
      </c>
      <c r="L306" s="31" t="n">
        <v>155</v>
      </c>
      <c r="M306" s="31" t="n">
        <v>174</v>
      </c>
      <c r="N306" s="31" t="n">
        <v>19</v>
      </c>
      <c r="O306" s="31" t="n">
        <v>400</v>
      </c>
      <c r="P306" s="31" t="inlineStr">
        <is>
          <t>林</t>
        </is>
      </c>
      <c r="Q306" s="31" t="inlineStr">
        <is>
          <t>6戦0勝</t>
        </is>
      </c>
      <c r="R306" s="31" t="n">
        <v>0</v>
      </c>
      <c r="S306" s="31" t="n">
        <v>0</v>
      </c>
      <c r="T306" s="31" t="n">
        <v>0</v>
      </c>
      <c r="U306" s="31" t="n">
        <v>0</v>
      </c>
      <c r="V306" s="31" t="n">
        <v>0</v>
      </c>
      <c r="W306" s="31" t="n">
        <v>0</v>
      </c>
      <c r="X306" s="31" t="inlineStr">
        <is>
          <t>--&gt;</t>
        </is>
      </c>
      <c r="Y306" s="31" t="n">
        <v>1</v>
      </c>
      <c r="Z306" s="31" t="inlineStr">
        <is>
          <t>420kg+</t>
        </is>
      </c>
    </row>
    <row r="307">
      <c r="A307" s="31" t="n">
        <v>2023</v>
      </c>
      <c r="B307" s="31" t="n">
        <v>30</v>
      </c>
      <c r="C307" s="31" t="inlineStr">
        <is>
          <t>フォルテピアノの22</t>
        </is>
      </c>
      <c r="D307" s="31" t="inlineStr">
        <is>
          <t>フィザルモニカ (Fisarmonica)</t>
        </is>
      </c>
      <c r="E307" s="31" t="inlineStr">
        <is>
          <t>ルヴァンスレーヴ</t>
        </is>
      </c>
      <c r="F307" s="31" t="inlineStr">
        <is>
          <t>メス</t>
        </is>
      </c>
      <c r="G307" s="31" t="n">
        <v>2</v>
      </c>
      <c r="H307" s="31" t="n">
        <v>19</v>
      </c>
      <c r="I307" s="31" t="n">
        <v>1</v>
      </c>
      <c r="J307" s="31" t="n">
        <v>2000</v>
      </c>
      <c r="K307" s="31" t="n">
        <v>434</v>
      </c>
      <c r="L307" s="31" t="n">
        <v>153</v>
      </c>
      <c r="M307" s="31" t="n">
        <v>176.5</v>
      </c>
      <c r="N307" s="31" t="n">
        <v>19.3</v>
      </c>
      <c r="O307" s="31" t="n">
        <v>400</v>
      </c>
      <c r="P307" s="31" t="inlineStr">
        <is>
          <t>大和田</t>
        </is>
      </c>
      <c r="Q307" s="31" t="inlineStr">
        <is>
          <t>5戦1勝</t>
        </is>
      </c>
      <c r="R307" s="31" t="n">
        <v>1</v>
      </c>
      <c r="S307" s="31" t="n">
        <v>0</v>
      </c>
      <c r="T307" s="31" t="n">
        <v>1140</v>
      </c>
      <c r="U307" s="31" t="n">
        <v>0</v>
      </c>
      <c r="V307" s="31" t="n">
        <v>0.57</v>
      </c>
      <c r="W307" s="31" t="n">
        <v>0</v>
      </c>
      <c r="X307" s="31" t="inlineStr">
        <is>
          <t>25'3歳未勝利--&gt;</t>
        </is>
      </c>
      <c r="Y307" s="31" t="n">
        <v>1</v>
      </c>
      <c r="Z307" s="31" t="inlineStr">
        <is>
          <t>420kg+</t>
        </is>
      </c>
    </row>
    <row r="308">
      <c r="A308" s="31" t="n">
        <v>2023</v>
      </c>
      <c r="B308" s="31" t="n">
        <v>32</v>
      </c>
      <c r="C308" s="31" t="inlineStr">
        <is>
          <t>ティンバレスの22</t>
        </is>
      </c>
      <c r="D308" s="31" t="inlineStr">
        <is>
          <t>グランカッサ (Grancassa)</t>
        </is>
      </c>
      <c r="E308" s="31" t="inlineStr">
        <is>
          <t>オルフェーヴル</t>
        </is>
      </c>
      <c r="F308" s="31" t="inlineStr">
        <is>
          <t>メス</t>
        </is>
      </c>
      <c r="G308" s="31" t="n">
        <v>2</v>
      </c>
      <c r="H308" s="31" t="n">
        <v>10</v>
      </c>
      <c r="I308" s="31" t="n">
        <v>1</v>
      </c>
      <c r="J308" s="31" t="n">
        <v>2800</v>
      </c>
      <c r="K308" s="31" t="n">
        <v>497</v>
      </c>
      <c r="L308" s="31" t="n">
        <v>160.5</v>
      </c>
      <c r="M308" s="31" t="n">
        <v>183.5</v>
      </c>
      <c r="N308" s="31" t="n">
        <v>20.5</v>
      </c>
      <c r="O308" s="31" t="n">
        <v>400</v>
      </c>
      <c r="P308" s="31" t="inlineStr">
        <is>
          <t>小久保智</t>
        </is>
      </c>
      <c r="Q308" s="31" t="inlineStr">
        <is>
          <t>12戦1勝</t>
        </is>
      </c>
      <c r="R308" s="31" t="n">
        <v>1</v>
      </c>
      <c r="S308" s="31" t="n">
        <v>0</v>
      </c>
      <c r="T308" s="31" t="n">
        <v>1103</v>
      </c>
      <c r="U308" s="31" t="n">
        <v>0</v>
      </c>
      <c r="V308" s="31" t="n">
        <v>0.39</v>
      </c>
      <c r="W308" s="31" t="n">
        <v>0</v>
      </c>
      <c r="X308" s="31" t="inlineStr">
        <is>
          <t>25'3歳未勝利--&gt;</t>
        </is>
      </c>
      <c r="Y308" s="31" t="n">
        <v>2</v>
      </c>
      <c r="Z308" s="31" t="inlineStr">
        <is>
          <t>価格帯・420kg+</t>
        </is>
      </c>
    </row>
    <row r="309">
      <c r="A309" s="31" t="n">
        <v>2023</v>
      </c>
      <c r="B309" s="31" t="n">
        <v>33</v>
      </c>
      <c r="C309" s="31" t="inlineStr">
        <is>
          <t>エリスライトの22</t>
        </is>
      </c>
      <c r="D309" s="31" t="inlineStr">
        <is>
          <t>トライゴーニック (Trigonic)</t>
        </is>
      </c>
      <c r="E309" s="31" t="inlineStr">
        <is>
          <t>ルーラーシップ</t>
        </is>
      </c>
      <c r="F309" s="31" t="inlineStr">
        <is>
          <t>牡</t>
        </is>
      </c>
      <c r="G309" s="31" t="n">
        <v>2</v>
      </c>
      <c r="H309" s="31" t="n">
        <v>7</v>
      </c>
      <c r="I309" s="31" t="n">
        <v>1</v>
      </c>
      <c r="J309" s="31" t="n">
        <v>4000</v>
      </c>
      <c r="K309" s="31" t="n">
        <v>442</v>
      </c>
      <c r="L309" s="31" t="n">
        <v>154</v>
      </c>
      <c r="M309" s="31" t="n">
        <v>171.5</v>
      </c>
      <c r="N309" s="31" t="n">
        <v>20.6</v>
      </c>
      <c r="O309" s="31" t="n">
        <v>400</v>
      </c>
      <c r="P309" s="31" t="inlineStr">
        <is>
          <t>池上</t>
        </is>
      </c>
      <c r="Q309" s="31" t="inlineStr">
        <is>
          <t>4戦1勝</t>
        </is>
      </c>
      <c r="R309" s="31" t="n">
        <v>1</v>
      </c>
      <c r="S309" s="31" t="n">
        <v>0</v>
      </c>
      <c r="T309" s="31" t="n">
        <v>644</v>
      </c>
      <c r="U309" s="31" t="n">
        <v>0</v>
      </c>
      <c r="V309" s="31" t="n">
        <v>0.16</v>
      </c>
      <c r="W309" s="31" t="n">
        <v>0</v>
      </c>
      <c r="X309" s="31" t="inlineStr">
        <is>
          <t>25'3歳未勝利--&gt;</t>
        </is>
      </c>
      <c r="Y309" s="31" t="n">
        <v>2</v>
      </c>
      <c r="Z309" s="31" t="inlineStr">
        <is>
          <t>牡・420kg+</t>
        </is>
      </c>
    </row>
    <row r="310">
      <c r="A310" s="31" t="n">
        <v>2023</v>
      </c>
      <c r="B310" s="31" t="n">
        <v>34</v>
      </c>
      <c r="C310" s="31" t="inlineStr">
        <is>
          <t>コンダクトレスの22</t>
        </is>
      </c>
      <c r="D310" s="31" t="inlineStr">
        <is>
          <t>コンアフェット (Con Affetto)</t>
        </is>
      </c>
      <c r="E310" s="31" t="inlineStr">
        <is>
          <t>ルーラーシップ</t>
        </is>
      </c>
      <c r="F310" s="31" t="inlineStr">
        <is>
          <t>メス</t>
        </is>
      </c>
      <c r="G310" s="31" t="n">
        <v>2</v>
      </c>
      <c r="H310" s="31" t="n">
        <v>7</v>
      </c>
      <c r="I310" s="31" t="n">
        <v>1</v>
      </c>
      <c r="J310" s="31" t="n">
        <v>2800</v>
      </c>
      <c r="K310" s="31" t="n">
        <v>469</v>
      </c>
      <c r="L310" s="31" t="n">
        <v>154.5</v>
      </c>
      <c r="M310" s="31" t="n">
        <v>175.5</v>
      </c>
      <c r="N310" s="31" t="n">
        <v>19.5</v>
      </c>
      <c r="O310" s="31" t="n">
        <v>400</v>
      </c>
      <c r="P310" s="31" t="inlineStr">
        <is>
          <t>斎藤誠</t>
        </is>
      </c>
      <c r="Q310" s="31" t="inlineStr">
        <is>
          <t>10戦2勝</t>
        </is>
      </c>
      <c r="R310" s="31" t="n">
        <v>2</v>
      </c>
      <c r="S310" s="31" t="n">
        <v>0</v>
      </c>
      <c r="T310" s="31" t="n">
        <v>2737</v>
      </c>
      <c r="U310" s="31" t="n">
        <v>0</v>
      </c>
      <c r="V310" s="31" t="n">
        <v>0.98</v>
      </c>
      <c r="W310" s="31" t="n">
        <v>0</v>
      </c>
      <c r="X310" s="31" t="inlineStr">
        <is>
          <t>25'3歳以上1勝クラス24'2歳未勝利--&gt;</t>
        </is>
      </c>
      <c r="Y310" s="31" t="n">
        <v>2</v>
      </c>
      <c r="Z310" s="31" t="inlineStr">
        <is>
          <t>価格帯・420kg+</t>
        </is>
      </c>
    </row>
    <row r="311">
      <c r="A311" s="31" t="n">
        <v>2023</v>
      </c>
      <c r="B311" s="31" t="n">
        <v>35</v>
      </c>
      <c r="C311" s="31" t="inlineStr">
        <is>
          <t>コロナシオンの22</t>
        </is>
      </c>
      <c r="D311" s="31" t="inlineStr">
        <is>
          <t>エデルクローネ (Edel Krone)</t>
        </is>
      </c>
      <c r="E311" s="31" t="inlineStr">
        <is>
          <t>フィエールマン</t>
        </is>
      </c>
      <c r="F311" s="31" t="inlineStr">
        <is>
          <t>牡</t>
        </is>
      </c>
      <c r="G311" s="31" t="n">
        <v>3</v>
      </c>
      <c r="H311" s="31" t="n">
        <v>8</v>
      </c>
      <c r="I311" s="31" t="n">
        <v>1</v>
      </c>
      <c r="J311" s="31" t="n">
        <v>3600</v>
      </c>
      <c r="K311" s="31" t="n">
        <v>453</v>
      </c>
      <c r="L311" s="31" t="n">
        <v>154</v>
      </c>
      <c r="M311" s="31" t="n">
        <v>179.5</v>
      </c>
      <c r="N311" s="31" t="n">
        <v>21</v>
      </c>
      <c r="O311" s="31" t="n">
        <v>400</v>
      </c>
      <c r="P311" s="31" t="inlineStr">
        <is>
          <t>手塚久</t>
        </is>
      </c>
      <c r="Q311" s="31" t="inlineStr">
        <is>
          <t>11戦1勝</t>
        </is>
      </c>
      <c r="R311" s="31" t="n">
        <v>1</v>
      </c>
      <c r="S311" s="31" t="n">
        <v>0</v>
      </c>
      <c r="T311" s="31" t="n">
        <v>2905</v>
      </c>
      <c r="U311" s="31" t="n">
        <v>0</v>
      </c>
      <c r="V311" s="31" t="n">
        <v>0.8100000000000001</v>
      </c>
      <c r="W311" s="31" t="n">
        <v>0</v>
      </c>
      <c r="X311" s="31" t="inlineStr">
        <is>
          <t>24'2歳未勝利--&gt;</t>
        </is>
      </c>
      <c r="Y311" s="31" t="n">
        <v>3</v>
      </c>
      <c r="Z311" s="31" t="inlineStr">
        <is>
          <t>牡・価格帯・420kg+</t>
        </is>
      </c>
    </row>
    <row r="312">
      <c r="A312" s="31" t="n">
        <v>2023</v>
      </c>
      <c r="B312" s="31" t="n">
        <v>36</v>
      </c>
      <c r="C312" s="31" t="inlineStr">
        <is>
          <t>ピースエンブレムの22</t>
        </is>
      </c>
      <c r="D312" s="31" t="inlineStr">
        <is>
          <t>ウィッシュツリー (Wish Tree)</t>
        </is>
      </c>
      <c r="E312" s="31" t="inlineStr">
        <is>
          <t>フィエールマン</t>
        </is>
      </c>
      <c r="F312" s="31" t="inlineStr">
        <is>
          <t>メス</t>
        </is>
      </c>
      <c r="G312" s="31" t="n">
        <v>4</v>
      </c>
      <c r="H312" s="31" t="n">
        <v>16</v>
      </c>
      <c r="I312" s="31" t="n">
        <v>1</v>
      </c>
      <c r="J312" s="31" t="n">
        <v>2400</v>
      </c>
      <c r="K312" s="31" t="n">
        <v>414</v>
      </c>
      <c r="L312" s="31" t="n">
        <v>156</v>
      </c>
      <c r="M312" s="31" t="n">
        <v>169.5</v>
      </c>
      <c r="N312" s="31" t="n">
        <v>20.3</v>
      </c>
      <c r="O312" s="31" t="n">
        <v>400</v>
      </c>
      <c r="P312" s="31" t="inlineStr">
        <is>
          <t>宮田</t>
        </is>
      </c>
      <c r="Q312" s="31" t="inlineStr">
        <is>
          <t>4戦2勝</t>
        </is>
      </c>
      <c r="R312" s="31" t="n">
        <v>2</v>
      </c>
      <c r="S312" s="31" t="n">
        <v>0</v>
      </c>
      <c r="T312" s="31" t="n">
        <v>2130</v>
      </c>
      <c r="U312" s="31" t="n">
        <v>0</v>
      </c>
      <c r="V312" s="31" t="n">
        <v>0.89</v>
      </c>
      <c r="W312" s="31" t="n">
        <v>0</v>
      </c>
      <c r="X312" s="31" t="inlineStr">
        <is>
          <t>25'3歳以上1勝クラス25'3歳未勝利--&gt;</t>
        </is>
      </c>
      <c r="Y312" s="31" t="n">
        <v>0</v>
      </c>
      <c r="Z312" s="31" t="inlineStr"/>
    </row>
    <row r="313">
      <c r="A313" s="31" t="n">
        <v>2023</v>
      </c>
      <c r="B313" s="31" t="n">
        <v>37</v>
      </c>
      <c r="C313" s="31" t="inlineStr">
        <is>
          <t>ピンクアリエスの22</t>
        </is>
      </c>
      <c r="D313" s="31" t="inlineStr">
        <is>
          <t>アンティジャミーラ (Anti Jamila)</t>
        </is>
      </c>
      <c r="E313" s="31" t="inlineStr">
        <is>
          <t>アルアイン</t>
        </is>
      </c>
      <c r="F313" s="31" t="inlineStr">
        <is>
          <t>メス</t>
        </is>
      </c>
      <c r="G313" s="31" t="n">
        <v>1</v>
      </c>
      <c r="H313" s="31" t="n">
        <v>15</v>
      </c>
      <c r="I313" s="31" t="n">
        <v>1</v>
      </c>
      <c r="J313" s="31" t="n">
        <v>2400</v>
      </c>
      <c r="K313" s="31" t="n">
        <v>438</v>
      </c>
      <c r="L313" s="31" t="n">
        <v>153.5</v>
      </c>
      <c r="M313" s="31" t="n">
        <v>174</v>
      </c>
      <c r="N313" s="31" t="n">
        <v>19.5</v>
      </c>
      <c r="O313" s="31" t="n">
        <v>400</v>
      </c>
      <c r="P313" s="31" t="inlineStr">
        <is>
          <t>中川</t>
        </is>
      </c>
      <c r="Q313" s="31" t="inlineStr">
        <is>
          <t>16戦2勝</t>
        </is>
      </c>
      <c r="R313" s="31" t="n">
        <v>0</v>
      </c>
      <c r="S313" s="31" t="n">
        <v>2</v>
      </c>
      <c r="T313" s="31" t="n">
        <v>223</v>
      </c>
      <c r="U313" s="31" t="n">
        <v>128</v>
      </c>
      <c r="V313" s="31" t="n">
        <v>0.15</v>
      </c>
      <c r="W313" s="31" t="n">
        <v>0</v>
      </c>
      <c r="X313" s="31" t="inlineStr">
        <is>
          <t>緑風賞九州の牧場で働こう!賞--&gt;</t>
        </is>
      </c>
      <c r="Y313" s="31" t="n">
        <v>1</v>
      </c>
      <c r="Z313" s="31" t="inlineStr">
        <is>
          <t>420kg+</t>
        </is>
      </c>
    </row>
    <row r="314">
      <c r="A314" s="31" t="n">
        <v>2023</v>
      </c>
      <c r="B314" s="31" t="n">
        <v>38</v>
      </c>
      <c r="C314" s="31" t="inlineStr">
        <is>
          <t>ダイワオンディーヌの22</t>
        </is>
      </c>
      <c r="D314" s="31" t="inlineStr">
        <is>
          <t>オーセンティアン (Eau Scintillante)</t>
        </is>
      </c>
      <c r="E314" s="31" t="inlineStr">
        <is>
          <t>スワーヴリチャード</t>
        </is>
      </c>
      <c r="F314" s="31" t="inlineStr">
        <is>
          <t>メス</t>
        </is>
      </c>
      <c r="G314" s="31" t="n">
        <v>3</v>
      </c>
      <c r="H314" s="31" t="n">
        <v>19</v>
      </c>
      <c r="I314" s="31" t="n">
        <v>1</v>
      </c>
      <c r="J314" s="31" t="n">
        <v>1800</v>
      </c>
      <c r="K314" s="31" t="n">
        <v>465</v>
      </c>
      <c r="L314" s="31" t="n">
        <v>161</v>
      </c>
      <c r="M314" s="31" t="n">
        <v>181.5</v>
      </c>
      <c r="N314" s="31" t="n">
        <v>20.6</v>
      </c>
      <c r="O314" s="31" t="n">
        <v>400</v>
      </c>
      <c r="P314" s="31" t="inlineStr">
        <is>
          <t>高橋文</t>
        </is>
      </c>
      <c r="Q314" s="31" t="inlineStr">
        <is>
          <t>26戦2勝</t>
        </is>
      </c>
      <c r="R314" s="31" t="n">
        <v>0</v>
      </c>
      <c r="S314" s="31" t="n">
        <v>2</v>
      </c>
      <c r="T314" s="31" t="n">
        <v>0</v>
      </c>
      <c r="U314" s="31" t="n">
        <v>269</v>
      </c>
      <c r="V314" s="31" t="n">
        <v>0.15</v>
      </c>
      <c r="W314" s="31" t="n">
        <v>0</v>
      </c>
      <c r="X314" s="31" t="inlineStr">
        <is>
          <t>C19組C8組--&gt;</t>
        </is>
      </c>
      <c r="Y314" s="31" t="n">
        <v>1</v>
      </c>
      <c r="Z314" s="31" t="inlineStr">
        <is>
          <t>420kg+</t>
        </is>
      </c>
    </row>
    <row r="315">
      <c r="A315" s="31" t="n">
        <v>2023</v>
      </c>
      <c r="B315" s="31" t="n">
        <v>39</v>
      </c>
      <c r="C315" s="31" t="inlineStr">
        <is>
          <t>サンブルエミューズの22</t>
        </is>
      </c>
      <c r="D315" s="31" t="inlineStr">
        <is>
          <t>ブルージュ (Bruges)</t>
        </is>
      </c>
      <c r="E315" s="31" t="inlineStr">
        <is>
          <t>ブリックスアンドモルタル</t>
        </is>
      </c>
      <c r="F315" s="31" t="inlineStr">
        <is>
          <t>メス</t>
        </is>
      </c>
      <c r="G315" s="31" t="n">
        <v>3</v>
      </c>
      <c r="H315" s="31" t="n">
        <v>12</v>
      </c>
      <c r="I315" s="31" t="n">
        <v>1</v>
      </c>
      <c r="J315" s="31" t="n">
        <v>6000</v>
      </c>
      <c r="K315" s="31" t="n">
        <v>410</v>
      </c>
      <c r="L315" s="31" t="n">
        <v>150</v>
      </c>
      <c r="M315" s="31" t="n">
        <v>172</v>
      </c>
      <c r="N315" s="31" t="n">
        <v>18.8</v>
      </c>
      <c r="O315" s="31" t="n">
        <v>400</v>
      </c>
      <c r="P315" s="31" t="inlineStr">
        <is>
          <t>浅利</t>
        </is>
      </c>
      <c r="Q315" s="31" t="inlineStr">
        <is>
          <t>11戦1勝</t>
        </is>
      </c>
      <c r="R315" s="31" t="n">
        <v>1</v>
      </c>
      <c r="S315" s="31" t="n">
        <v>0</v>
      </c>
      <c r="T315" s="31" t="n">
        <v>1190</v>
      </c>
      <c r="U315" s="31" t="n">
        <v>0</v>
      </c>
      <c r="V315" s="31" t="n">
        <v>0.2</v>
      </c>
      <c r="W315" s="31" t="n">
        <v>0</v>
      </c>
      <c r="X315" s="31" t="inlineStr">
        <is>
          <t>25'3歳未勝利--&gt;</t>
        </is>
      </c>
      <c r="Y315" s="31" t="n">
        <v>0</v>
      </c>
      <c r="Z315" s="31" t="inlineStr"/>
    </row>
    <row r="316">
      <c r="A316" s="31" t="n">
        <v>2023</v>
      </c>
      <c r="B316" s="31" t="n">
        <v>40</v>
      </c>
      <c r="C316" s="31" t="inlineStr">
        <is>
          <t>ケアレスウィスパーの22</t>
        </is>
      </c>
      <c r="D316" s="31" t="inlineStr">
        <is>
          <t>トレインザマインド (Train the Mind)</t>
        </is>
      </c>
      <c r="E316" s="31" t="inlineStr">
        <is>
          <t>マインドユアビスケッツ</t>
        </is>
      </c>
      <c r="F316" s="31" t="inlineStr">
        <is>
          <t>メス</t>
        </is>
      </c>
      <c r="G316" s="31" t="n">
        <v>3</v>
      </c>
      <c r="H316" s="31" t="n">
        <v>18</v>
      </c>
      <c r="I316" s="31" t="n">
        <v>1</v>
      </c>
      <c r="J316" s="31" t="n">
        <v>3200</v>
      </c>
      <c r="K316" s="31" t="n">
        <v>502</v>
      </c>
      <c r="L316" s="31" t="n">
        <v>160</v>
      </c>
      <c r="M316" s="31" t="n">
        <v>184.5</v>
      </c>
      <c r="N316" s="31" t="n">
        <v>21.6</v>
      </c>
      <c r="O316" s="31" t="n">
        <v>400</v>
      </c>
      <c r="P316" s="31" t="inlineStr">
        <is>
          <t>中舘</t>
        </is>
      </c>
      <c r="Q316" s="31" t="inlineStr">
        <is>
          <t>13戦2勝</t>
        </is>
      </c>
      <c r="R316" s="31" t="n">
        <v>0</v>
      </c>
      <c r="S316" s="31" t="n">
        <v>2</v>
      </c>
      <c r="T316" s="31" t="n">
        <v>694</v>
      </c>
      <c r="U316" s="31" t="n">
        <v>940</v>
      </c>
      <c r="V316" s="31" t="n">
        <v>0.51</v>
      </c>
      <c r="W316" s="31" t="n">
        <v>0</v>
      </c>
      <c r="X316" s="31" t="inlineStr">
        <is>
          <t>アーバンステージ卯月賞フォーチュネイトむくげ特別--&gt;</t>
        </is>
      </c>
      <c r="Y316" s="31" t="n">
        <v>2</v>
      </c>
      <c r="Z316" s="31" t="inlineStr">
        <is>
          <t>価格帯・420kg+</t>
        </is>
      </c>
    </row>
    <row r="317">
      <c r="A317" s="31" t="n">
        <v>2023</v>
      </c>
      <c r="B317" s="31" t="n">
        <v>41</v>
      </c>
      <c r="C317" s="31" t="inlineStr">
        <is>
          <t>アンフィトリテの22</t>
        </is>
      </c>
      <c r="D317" s="31" t="inlineStr">
        <is>
          <t>バシレイア (Basileia)</t>
        </is>
      </c>
      <c r="E317" s="31" t="inlineStr">
        <is>
          <t>ミッキーアイル</t>
        </is>
      </c>
      <c r="F317" s="31" t="inlineStr">
        <is>
          <t>メス</t>
        </is>
      </c>
      <c r="G317" s="31" t="n">
        <v>2</v>
      </c>
      <c r="H317" s="31" t="n">
        <v>7</v>
      </c>
      <c r="I317" s="31" t="n">
        <v>1</v>
      </c>
      <c r="J317" s="31" t="n">
        <v>2600</v>
      </c>
      <c r="K317" s="31" t="n">
        <v>404</v>
      </c>
      <c r="L317" s="31" t="n">
        <v>153</v>
      </c>
      <c r="M317" s="31" t="n">
        <v>167.5</v>
      </c>
      <c r="N317" s="31" t="n">
        <v>19</v>
      </c>
      <c r="O317" s="31" t="n">
        <v>400</v>
      </c>
      <c r="P317" s="31" t="inlineStr">
        <is>
          <t>西田</t>
        </is>
      </c>
      <c r="Q317" s="31" t="inlineStr">
        <is>
          <t>7戦2勝</t>
        </is>
      </c>
      <c r="R317" s="31" t="n">
        <v>2</v>
      </c>
      <c r="S317" s="31" t="n">
        <v>0</v>
      </c>
      <c r="T317" s="31" t="n">
        <v>1360</v>
      </c>
      <c r="U317" s="31" t="n">
        <v>0</v>
      </c>
      <c r="V317" s="31" t="n">
        <v>0.52</v>
      </c>
      <c r="W317" s="31" t="n">
        <v>0</v>
      </c>
      <c r="X317" s="31" t="inlineStr">
        <is>
          <t>25'3歳以上1勝クラス25'3歳未勝利--&gt;</t>
        </is>
      </c>
      <c r="Y317" s="31" t="n">
        <v>1</v>
      </c>
      <c r="Z317" s="31" t="inlineStr">
        <is>
          <t>価格帯</t>
        </is>
      </c>
    </row>
    <row r="318">
      <c r="A318" s="31" t="n">
        <v>2023</v>
      </c>
      <c r="B318" s="31" t="n">
        <v>42</v>
      </c>
      <c r="C318" s="31" t="inlineStr">
        <is>
          <t>エディスワートンの22</t>
        </is>
      </c>
      <c r="D318" s="31" t="inlineStr">
        <is>
          <t>ウィンスタンリー (Winstanley)</t>
        </is>
      </c>
      <c r="E318" s="31" t="inlineStr">
        <is>
          <t>リアルスティール</t>
        </is>
      </c>
      <c r="F318" s="31" t="inlineStr">
        <is>
          <t>牡</t>
        </is>
      </c>
      <c r="G318" s="31" t="n">
        <v>2</v>
      </c>
      <c r="H318" s="31" t="n">
        <v>8</v>
      </c>
      <c r="I318" s="31" t="n">
        <v>1</v>
      </c>
      <c r="J318" s="31" t="n">
        <v>3200</v>
      </c>
      <c r="K318" s="31" t="n">
        <v>453</v>
      </c>
      <c r="L318" s="31" t="n">
        <v>158</v>
      </c>
      <c r="M318" s="31" t="n">
        <v>179.5</v>
      </c>
      <c r="N318" s="31" t="n">
        <v>20.5</v>
      </c>
      <c r="O318" s="31" t="n">
        <v>400</v>
      </c>
      <c r="P318" s="31" t="inlineStr">
        <is>
          <t>黒岩</t>
        </is>
      </c>
      <c r="Q318" s="31" t="inlineStr">
        <is>
          <t>6戦1勝</t>
        </is>
      </c>
      <c r="R318" s="31" t="n">
        <v>1</v>
      </c>
      <c r="S318" s="31" t="n">
        <v>0</v>
      </c>
      <c r="T318" s="31" t="n">
        <v>880</v>
      </c>
      <c r="U318" s="31" t="n">
        <v>0</v>
      </c>
      <c r="V318" s="31" t="n">
        <v>0.28</v>
      </c>
      <c r="W318" s="31" t="n">
        <v>0</v>
      </c>
      <c r="X318" s="31" t="inlineStr">
        <is>
          <t>25'3歳未勝利--&gt;</t>
        </is>
      </c>
      <c r="Y318" s="31" t="n">
        <v>3</v>
      </c>
      <c r="Z318" s="31" t="inlineStr">
        <is>
          <t>牡・価格帯・420kg+</t>
        </is>
      </c>
    </row>
    <row r="319">
      <c r="A319" s="31" t="n">
        <v>2023</v>
      </c>
      <c r="B319" s="31" t="n">
        <v>43</v>
      </c>
      <c r="C319" s="31" t="inlineStr">
        <is>
          <t>ココシュニックの22</t>
        </is>
      </c>
      <c r="D319" s="31" t="inlineStr">
        <is>
          <t>ココアミュレット (Coco Amulet)</t>
        </is>
      </c>
      <c r="E319" s="31" t="inlineStr">
        <is>
          <t>アドマイヤマーズ</t>
        </is>
      </c>
      <c r="F319" s="31" t="inlineStr">
        <is>
          <t>メス</t>
        </is>
      </c>
      <c r="G319" s="31" t="n">
        <v>3</v>
      </c>
      <c r="H319" s="31" t="n">
        <v>17</v>
      </c>
      <c r="I319" s="31" t="n">
        <v>1</v>
      </c>
      <c r="J319" s="31" t="n">
        <v>2400</v>
      </c>
      <c r="K319" s="31" t="n">
        <v>429</v>
      </c>
      <c r="L319" s="31" t="n">
        <v>156</v>
      </c>
      <c r="M319" s="31" t="n">
        <v>178</v>
      </c>
      <c r="N319" s="31" t="n">
        <v>19.8</v>
      </c>
      <c r="O319" s="31" t="n">
        <v>400</v>
      </c>
      <c r="P319" s="31" t="inlineStr">
        <is>
          <t>稲垣</t>
        </is>
      </c>
      <c r="Q319" s="31" t="inlineStr">
        <is>
          <t>3戦0勝</t>
        </is>
      </c>
      <c r="R319" s="31" t="n">
        <v>0</v>
      </c>
      <c r="S319" s="31" t="n">
        <v>0</v>
      </c>
      <c r="T319" s="31" t="n">
        <v>110</v>
      </c>
      <c r="U319" s="31" t="n">
        <v>0</v>
      </c>
      <c r="V319" s="31" t="n">
        <v>0.05</v>
      </c>
      <c r="W319" s="31" t="n">
        <v>0</v>
      </c>
      <c r="X319" s="31" t="inlineStr">
        <is>
          <t>--&gt;</t>
        </is>
      </c>
      <c r="Y319" s="31" t="n">
        <v>1</v>
      </c>
      <c r="Z319" s="31" t="inlineStr">
        <is>
          <t>420kg+</t>
        </is>
      </c>
    </row>
    <row r="320">
      <c r="A320" s="31" t="n">
        <v>2023</v>
      </c>
      <c r="B320" s="31" t="n">
        <v>44</v>
      </c>
      <c r="C320" s="31" t="inlineStr">
        <is>
          <t>ヴィータアレグリアの22</t>
        </is>
      </c>
      <c r="D320" s="31" t="inlineStr">
        <is>
          <t>グランジョルノ (Gran Giorno)</t>
        </is>
      </c>
      <c r="E320" s="31" t="inlineStr">
        <is>
          <t>ゴールドドリーム</t>
        </is>
      </c>
      <c r="F320" s="31" t="inlineStr">
        <is>
          <t>牡</t>
        </is>
      </c>
      <c r="G320" s="31" t="n">
        <v>4</v>
      </c>
      <c r="H320" s="31" t="n">
        <v>11</v>
      </c>
      <c r="I320" s="31" t="n">
        <v>1</v>
      </c>
      <c r="J320" s="31" t="n">
        <v>3200</v>
      </c>
      <c r="K320" s="31" t="n">
        <v>438</v>
      </c>
      <c r="L320" s="31" t="n">
        <v>156</v>
      </c>
      <c r="M320" s="31" t="n">
        <v>174.5</v>
      </c>
      <c r="N320" s="31" t="n">
        <v>20.1</v>
      </c>
      <c r="O320" s="31" t="n">
        <v>400</v>
      </c>
      <c r="P320" s="31" t="inlineStr">
        <is>
          <t>高柳瑞</t>
        </is>
      </c>
      <c r="Q320" s="31" t="inlineStr">
        <is>
          <t>9戦1勝</t>
        </is>
      </c>
      <c r="R320" s="31" t="n">
        <v>1</v>
      </c>
      <c r="S320" s="31" t="n">
        <v>0</v>
      </c>
      <c r="T320" s="31" t="n">
        <v>720</v>
      </c>
      <c r="U320" s="31" t="n">
        <v>2065</v>
      </c>
      <c r="V320" s="31" t="n">
        <v>0.87</v>
      </c>
      <c r="W320" s="31" t="n">
        <v>0</v>
      </c>
      <c r="X320" s="31" t="inlineStr">
        <is>
          <t>24'2歳新馬--&gt;</t>
        </is>
      </c>
      <c r="Y320" s="31" t="n">
        <v>3</v>
      </c>
      <c r="Z320" s="31" t="inlineStr">
        <is>
          <t>牡・価格帯・420kg+</t>
        </is>
      </c>
    </row>
    <row r="321">
      <c r="A321" s="31" t="n">
        <v>2023</v>
      </c>
      <c r="B321" s="31" t="n">
        <v>45</v>
      </c>
      <c r="C321" s="31" t="inlineStr">
        <is>
          <t>フェルミオンの22</t>
        </is>
      </c>
      <c r="D321" s="31" t="inlineStr">
        <is>
          <t>ディラトン (Dilaton)</t>
        </is>
      </c>
      <c r="E321" s="31" t="inlineStr">
        <is>
          <t>シュヴァルグラン</t>
        </is>
      </c>
      <c r="F321" s="31" t="inlineStr">
        <is>
          <t>牡</t>
        </is>
      </c>
      <c r="G321" s="31" t="n">
        <v>4</v>
      </c>
      <c r="H321" s="31" t="n">
        <v>16</v>
      </c>
      <c r="I321" s="31" t="n">
        <v>1</v>
      </c>
      <c r="J321" s="31" t="n">
        <v>2600</v>
      </c>
      <c r="K321" s="31" t="n">
        <v>421</v>
      </c>
      <c r="L321" s="31" t="n">
        <v>154.5</v>
      </c>
      <c r="M321" s="31" t="n">
        <v>168</v>
      </c>
      <c r="N321" s="31" t="n">
        <v>20.5</v>
      </c>
      <c r="O321" s="31" t="n">
        <v>400</v>
      </c>
      <c r="P321" s="31" t="inlineStr">
        <is>
          <t>矢嶋</t>
        </is>
      </c>
      <c r="Q321" s="31" t="inlineStr">
        <is>
          <t>1戦0勝</t>
        </is>
      </c>
      <c r="R321" s="31" t="n">
        <v>0</v>
      </c>
      <c r="S321" s="31" t="n">
        <v>0</v>
      </c>
      <c r="T321" s="31" t="n">
        <v>0</v>
      </c>
      <c r="U321" s="31" t="n">
        <v>0</v>
      </c>
      <c r="V321" s="31" t="n">
        <v>0</v>
      </c>
      <c r="W321" s="31" t="n">
        <v>0</v>
      </c>
      <c r="X321" s="31" t="inlineStr">
        <is>
          <t>--&gt;</t>
        </is>
      </c>
      <c r="Y321" s="31" t="n">
        <v>3</v>
      </c>
      <c r="Z321" s="31" t="inlineStr">
        <is>
          <t>牡・価格帯・420kg+</t>
        </is>
      </c>
    </row>
    <row r="322">
      <c r="A322" s="31" t="n">
        <v>2023</v>
      </c>
      <c r="B322" s="31" t="n">
        <v>46</v>
      </c>
      <c r="C322" s="31" t="inlineStr">
        <is>
          <t>ヴィアンローズの22</t>
        </is>
      </c>
      <c r="D322" s="31" t="inlineStr">
        <is>
          <t>カザンラク (Kazanlak)</t>
        </is>
      </c>
      <c r="E322" s="31" t="inlineStr">
        <is>
          <t>シルバーステート</t>
        </is>
      </c>
      <c r="F322" s="31" t="inlineStr">
        <is>
          <t>牡</t>
        </is>
      </c>
      <c r="G322" s="31" t="n">
        <v>4</v>
      </c>
      <c r="H322" s="31" t="n">
        <v>20</v>
      </c>
      <c r="I322" s="31" t="n">
        <v>1</v>
      </c>
      <c r="J322" s="31" t="n">
        <v>3000</v>
      </c>
      <c r="K322" s="31" t="n">
        <v>413</v>
      </c>
      <c r="L322" s="31" t="n">
        <v>153</v>
      </c>
      <c r="M322" s="31" t="n">
        <v>167</v>
      </c>
      <c r="N322" s="31" t="n">
        <v>20.5</v>
      </c>
      <c r="O322" s="31" t="n">
        <v>400</v>
      </c>
      <c r="P322" s="31" t="inlineStr">
        <is>
          <t>嘉藤</t>
        </is>
      </c>
      <c r="Q322" s="31" t="inlineStr">
        <is>
          <t>9戦1勝</t>
        </is>
      </c>
      <c r="R322" s="31" t="n">
        <v>1</v>
      </c>
      <c r="S322" s="31" t="n">
        <v>0</v>
      </c>
      <c r="T322" s="31" t="n">
        <v>1450</v>
      </c>
      <c r="U322" s="31" t="n">
        <v>0</v>
      </c>
      <c r="V322" s="31" t="n">
        <v>0.48</v>
      </c>
      <c r="W322" s="31" t="n">
        <v>0</v>
      </c>
      <c r="X322" s="31" t="inlineStr">
        <is>
          <t>24'2歳新馬--&gt;</t>
        </is>
      </c>
      <c r="Y322" s="31" t="n">
        <v>2</v>
      </c>
      <c r="Z322" s="31" t="inlineStr">
        <is>
          <t>牡・価格帯</t>
        </is>
      </c>
    </row>
    <row r="323">
      <c r="A323" s="31" t="n">
        <v>2023</v>
      </c>
      <c r="B323" s="31" t="n">
        <v>47</v>
      </c>
      <c r="C323" s="31" t="inlineStr">
        <is>
          <t>スペクトロライトの22</t>
        </is>
      </c>
      <c r="D323" s="31" t="inlineStr">
        <is>
          <t>ヴィジブルライト (Visible Light)</t>
        </is>
      </c>
      <c r="E323" s="31" t="inlineStr">
        <is>
          <t>ヘニーヒューズ</t>
        </is>
      </c>
      <c r="F323" s="31" t="inlineStr">
        <is>
          <t>牡</t>
        </is>
      </c>
      <c r="G323" s="31" t="n">
        <v>1</v>
      </c>
      <c r="H323" s="31" t="n">
        <v>12</v>
      </c>
      <c r="I323" s="31" t="n">
        <v>1</v>
      </c>
      <c r="J323" s="31" t="n">
        <v>3600</v>
      </c>
      <c r="K323" s="31" t="n">
        <v>436</v>
      </c>
      <c r="L323" s="31" t="n">
        <v>155</v>
      </c>
      <c r="M323" s="31" t="n">
        <v>172.5</v>
      </c>
      <c r="N323" s="31" t="n">
        <v>19.7</v>
      </c>
      <c r="O323" s="31" t="n">
        <v>400</v>
      </c>
      <c r="P323" s="31" t="inlineStr">
        <is>
          <t>和田郎</t>
        </is>
      </c>
      <c r="Q323" s="31" t="inlineStr">
        <is>
          <t>19戦0勝</t>
        </is>
      </c>
      <c r="R323" s="31" t="n">
        <v>0</v>
      </c>
      <c r="S323" s="31" t="n">
        <v>0</v>
      </c>
      <c r="T323" s="31" t="n">
        <v>696</v>
      </c>
      <c r="U323" s="31" t="n">
        <v>53</v>
      </c>
      <c r="V323" s="31" t="n">
        <v>0.21</v>
      </c>
      <c r="W323" s="31" t="n">
        <v>0</v>
      </c>
      <c r="X323" s="31" t="inlineStr">
        <is>
          <t>--&gt;</t>
        </is>
      </c>
      <c r="Y323" s="31" t="n">
        <v>3</v>
      </c>
      <c r="Z323" s="31" t="inlineStr">
        <is>
          <t>牡・価格帯・420kg+</t>
        </is>
      </c>
    </row>
    <row r="324">
      <c r="A324" s="31" t="n">
        <v>2023</v>
      </c>
      <c r="B324" s="31" t="n">
        <v>48</v>
      </c>
      <c r="C324" s="31" t="inlineStr">
        <is>
          <t>ローズノーブルの22</t>
        </is>
      </c>
      <c r="D324" s="31" t="inlineStr">
        <is>
          <t>スペードギニー (Spade Guinea)</t>
        </is>
      </c>
      <c r="E324" s="31" t="inlineStr">
        <is>
          <t>リオンディーズ</t>
        </is>
      </c>
      <c r="F324" s="31" t="inlineStr">
        <is>
          <t>牡</t>
        </is>
      </c>
      <c r="G324" s="31" t="n">
        <v>3</v>
      </c>
      <c r="H324" s="31" t="n">
        <v>13</v>
      </c>
      <c r="I324" s="31" t="n">
        <v>1</v>
      </c>
      <c r="J324" s="31" t="n">
        <v>4000</v>
      </c>
      <c r="K324" s="31" t="n">
        <v>448</v>
      </c>
      <c r="L324" s="31" t="n">
        <v>150</v>
      </c>
      <c r="M324" s="31" t="n">
        <v>170.5</v>
      </c>
      <c r="N324" s="31" t="n">
        <v>20.5</v>
      </c>
      <c r="O324" s="31" t="n">
        <v>400</v>
      </c>
      <c r="P324" s="31" t="inlineStr">
        <is>
          <t>板垣</t>
        </is>
      </c>
      <c r="Q324" s="31" t="inlineStr">
        <is>
          <t>11戦2勝</t>
        </is>
      </c>
      <c r="R324" s="31" t="n">
        <v>0</v>
      </c>
      <c r="S324" s="31" t="n">
        <v>2</v>
      </c>
      <c r="T324" s="31" t="n">
        <v>456</v>
      </c>
      <c r="U324" s="31" t="n">
        <v>149</v>
      </c>
      <c r="V324" s="31" t="n">
        <v>0.15</v>
      </c>
      <c r="W324" s="31" t="n">
        <v>0</v>
      </c>
      <c r="X324" s="31" t="inlineStr">
        <is>
          <t>天秤ひなみ6thAnniversary杯☆凛太郎くん☆1歳おめでとう記念--&gt;</t>
        </is>
      </c>
      <c r="Y324" s="31" t="n">
        <v>2</v>
      </c>
      <c r="Z324" s="31" t="inlineStr">
        <is>
          <t>牡・420kg+</t>
        </is>
      </c>
    </row>
    <row r="325">
      <c r="A325" s="31" t="n">
        <v>2023</v>
      </c>
      <c r="B325" s="31" t="n">
        <v>49</v>
      </c>
      <c r="C325" s="31" t="inlineStr">
        <is>
          <t>ユーセニアの22</t>
        </is>
      </c>
      <c r="D325" s="31" t="inlineStr">
        <is>
          <t>マックアルイーン (Mac an Luin)</t>
        </is>
      </c>
      <c r="E325" s="31" t="inlineStr">
        <is>
          <t>Blue Point</t>
        </is>
      </c>
      <c r="F325" s="31" t="inlineStr">
        <is>
          <t>牡</t>
        </is>
      </c>
      <c r="G325" s="31" t="n">
        <v>2</v>
      </c>
      <c r="H325" s="31" t="n">
        <v>10</v>
      </c>
      <c r="I325" s="31" t="n">
        <v>1</v>
      </c>
      <c r="J325" s="31" t="n">
        <v>5000</v>
      </c>
      <c r="K325" s="31" t="n">
        <v>495</v>
      </c>
      <c r="L325" s="31" t="n">
        <v>158</v>
      </c>
      <c r="M325" s="31" t="n">
        <v>181</v>
      </c>
      <c r="N325" s="31" t="n">
        <v>21.5</v>
      </c>
      <c r="O325" s="31" t="n">
        <v>400</v>
      </c>
      <c r="P325" s="31" t="inlineStr">
        <is>
          <t>秋本</t>
        </is>
      </c>
      <c r="Q325" s="31" t="inlineStr">
        <is>
          <t>10戦3勝</t>
        </is>
      </c>
      <c r="R325" s="31" t="n">
        <v>3</v>
      </c>
      <c r="S325" s="31" t="n">
        <v>0</v>
      </c>
      <c r="T325" s="31" t="n">
        <v>4324</v>
      </c>
      <c r="U325" s="31" t="n">
        <v>0</v>
      </c>
      <c r="V325" s="31" t="n">
        <v>0.86</v>
      </c>
      <c r="W325" s="31" t="n">
        <v>0</v>
      </c>
      <c r="X325" s="31" t="inlineStr">
        <is>
          <t>25'郡山特別(2勝クラス)25'3歳1勝クラス--&gt;</t>
        </is>
      </c>
      <c r="Y325" s="31" t="n">
        <v>2</v>
      </c>
      <c r="Z325" s="31" t="inlineStr">
        <is>
          <t>牡・420kg+</t>
        </is>
      </c>
    </row>
    <row r="326">
      <c r="A326" s="31" t="n">
        <v>2023</v>
      </c>
      <c r="B326" s="31" t="n">
        <v>50</v>
      </c>
      <c r="C326" s="31" t="inlineStr">
        <is>
          <t>シェイリーンⅡの22</t>
        </is>
      </c>
      <c r="D326" s="31" t="inlineStr">
        <is>
          <t>セラトーン (Celatone)</t>
        </is>
      </c>
      <c r="E326" s="31" t="inlineStr">
        <is>
          <t>Saxon Warrior</t>
        </is>
      </c>
      <c r="F326" s="31" t="inlineStr">
        <is>
          <t>牡</t>
        </is>
      </c>
      <c r="G326" s="31" t="n">
        <v>1</v>
      </c>
      <c r="H326" s="31" t="n">
        <v>7</v>
      </c>
      <c r="I326" s="31" t="n">
        <v>1</v>
      </c>
      <c r="J326" s="31" t="n">
        <v>3600</v>
      </c>
      <c r="K326" s="31" t="n">
        <v>478</v>
      </c>
      <c r="L326" s="31" t="n">
        <v>152.5</v>
      </c>
      <c r="M326" s="31" t="n">
        <v>177</v>
      </c>
      <c r="N326" s="31" t="n">
        <v>20.6</v>
      </c>
      <c r="O326" s="31" t="n">
        <v>400</v>
      </c>
      <c r="P326" s="31" t="inlineStr">
        <is>
          <t>尾関</t>
        </is>
      </c>
      <c r="Q326" s="31" t="inlineStr">
        <is>
          <t>28戦0勝</t>
        </is>
      </c>
      <c r="R326" s="31" t="n">
        <v>0</v>
      </c>
      <c r="S326" s="31" t="n">
        <v>0</v>
      </c>
      <c r="T326" s="31" t="n">
        <v>292</v>
      </c>
      <c r="U326" s="31" t="n">
        <v>54</v>
      </c>
      <c r="V326" s="31" t="n">
        <v>0.1</v>
      </c>
      <c r="W326" s="31" t="n">
        <v>0</v>
      </c>
      <c r="X326" s="31" t="inlineStr">
        <is>
          <t>--&gt;</t>
        </is>
      </c>
      <c r="Y326" s="31" t="n">
        <v>3</v>
      </c>
      <c r="Z326" s="31" t="inlineStr">
        <is>
          <t>牡・価格帯・420kg+</t>
        </is>
      </c>
    </row>
    <row r="327">
      <c r="A327" s="31" t="n">
        <v>2023</v>
      </c>
      <c r="B327" s="31" t="n">
        <v>51</v>
      </c>
      <c r="C327" s="31" t="inlineStr">
        <is>
          <t>ビートマッチの22</t>
        </is>
      </c>
      <c r="D327" s="31" t="inlineStr">
        <is>
          <t>バズアップビート (Buzz Up Beat)</t>
        </is>
      </c>
      <c r="E327" s="31" t="inlineStr">
        <is>
          <t>エピファネイア</t>
        </is>
      </c>
      <c r="F327" s="31" t="inlineStr">
        <is>
          <t>メス</t>
        </is>
      </c>
      <c r="G327" s="31" t="n">
        <v>4</v>
      </c>
      <c r="H327" s="31" t="n">
        <v>8</v>
      </c>
      <c r="I327" s="31" t="n">
        <v>1</v>
      </c>
      <c r="J327" s="31" t="n">
        <v>5000</v>
      </c>
      <c r="K327" s="31" t="n">
        <v>466</v>
      </c>
      <c r="L327" s="31" t="n">
        <v>154</v>
      </c>
      <c r="M327" s="31" t="n">
        <v>175.5</v>
      </c>
      <c r="N327" s="31" t="n">
        <v>20.9</v>
      </c>
      <c r="O327" s="31" t="n">
        <v>400</v>
      </c>
      <c r="P327" s="31" t="inlineStr">
        <is>
          <t>武幸</t>
        </is>
      </c>
      <c r="Q327" s="31" t="inlineStr">
        <is>
          <t>14戦1勝</t>
        </is>
      </c>
      <c r="R327" s="31" t="n">
        <v>1</v>
      </c>
      <c r="S327" s="31" t="n">
        <v>0</v>
      </c>
      <c r="T327" s="31" t="n">
        <v>2242</v>
      </c>
      <c r="U327" s="31" t="n">
        <v>0</v>
      </c>
      <c r="V327" s="31" t="n">
        <v>0.45</v>
      </c>
      <c r="W327" s="31" t="n">
        <v>0</v>
      </c>
      <c r="X327" s="31" t="inlineStr">
        <is>
          <t>25'3歳未勝利--&gt;</t>
        </is>
      </c>
      <c r="Y327" s="31" t="n">
        <v>1</v>
      </c>
      <c r="Z327" s="31" t="inlineStr">
        <is>
          <t>420kg+</t>
        </is>
      </c>
    </row>
    <row r="328">
      <c r="A328" s="31" t="n">
        <v>2023</v>
      </c>
      <c r="B328" s="31" t="n">
        <v>52</v>
      </c>
      <c r="C328" s="31" t="inlineStr">
        <is>
          <t>ソートアフターの22</t>
        </is>
      </c>
      <c r="D328" s="31" t="inlineStr">
        <is>
          <t>マイエレメント (My Element)</t>
        </is>
      </c>
      <c r="E328" s="31" t="inlineStr">
        <is>
          <t>エピファネイア</t>
        </is>
      </c>
      <c r="F328" s="31" t="inlineStr">
        <is>
          <t>メス</t>
        </is>
      </c>
      <c r="G328" s="31" t="n">
        <v>5</v>
      </c>
      <c r="H328" s="31" t="n">
        <v>8</v>
      </c>
      <c r="I328" s="31" t="n">
        <v>1</v>
      </c>
      <c r="J328" s="31" t="n">
        <v>4200</v>
      </c>
      <c r="K328" s="31" t="n">
        <v>442</v>
      </c>
      <c r="L328" s="31" t="n">
        <v>156</v>
      </c>
      <c r="M328" s="31" t="n">
        <v>175.5</v>
      </c>
      <c r="N328" s="31" t="n">
        <v>20.5</v>
      </c>
      <c r="O328" s="31" t="n">
        <v>400</v>
      </c>
      <c r="P328" s="31" t="inlineStr">
        <is>
          <t>福永</t>
        </is>
      </c>
      <c r="Q328" s="31" t="inlineStr">
        <is>
          <t>11戦3勝</t>
        </is>
      </c>
      <c r="R328" s="31" t="n">
        <v>3</v>
      </c>
      <c r="S328" s="31" t="n">
        <v>0</v>
      </c>
      <c r="T328" s="31" t="n">
        <v>3898</v>
      </c>
      <c r="U328" s="31" t="n">
        <v>0</v>
      </c>
      <c r="V328" s="31" t="n">
        <v>0.93</v>
      </c>
      <c r="W328" s="31" t="n">
        <v>0</v>
      </c>
      <c r="X328" s="31" t="inlineStr">
        <is>
          <t>25'フォーチュンC(2勝クラス)25'3歳以上1勝クラス--&gt;</t>
        </is>
      </c>
      <c r="Y328" s="31" t="n">
        <v>1</v>
      </c>
      <c r="Z328" s="31" t="inlineStr">
        <is>
          <t>420kg+</t>
        </is>
      </c>
    </row>
    <row r="329">
      <c r="A329" s="31" t="n">
        <v>2023</v>
      </c>
      <c r="B329" s="31" t="n">
        <v>53</v>
      </c>
      <c r="C329" s="31" t="inlineStr">
        <is>
          <t>キャンプロックの22</t>
        </is>
      </c>
      <c r="D329" s="31" t="inlineStr">
        <is>
          <t>コーチェラバレー (Coachella Valley)</t>
        </is>
      </c>
      <c r="E329" s="31" t="inlineStr">
        <is>
          <t>キズナ</t>
        </is>
      </c>
      <c r="F329" s="31" t="inlineStr">
        <is>
          <t>牡</t>
        </is>
      </c>
      <c r="G329" s="31" t="n">
        <v>2</v>
      </c>
      <c r="H329" s="31" t="n">
        <v>9</v>
      </c>
      <c r="I329" s="31" t="n">
        <v>1</v>
      </c>
      <c r="J329" s="31" t="n">
        <v>6000</v>
      </c>
      <c r="K329" s="31" t="n">
        <v>425</v>
      </c>
      <c r="L329" s="31" t="n">
        <v>154</v>
      </c>
      <c r="M329" s="31" t="n">
        <v>172.5</v>
      </c>
      <c r="N329" s="31" t="n">
        <v>19.6</v>
      </c>
      <c r="O329" s="31" t="n">
        <v>400</v>
      </c>
      <c r="P329" s="31" t="inlineStr">
        <is>
          <t>安田</t>
        </is>
      </c>
      <c r="Q329" s="31" t="inlineStr">
        <is>
          <t>10戦3勝</t>
        </is>
      </c>
      <c r="R329" s="31" t="n">
        <v>3</v>
      </c>
      <c r="S329" s="31" t="n">
        <v>0</v>
      </c>
      <c r="T329" s="31" t="n">
        <v>4196</v>
      </c>
      <c r="U329" s="31" t="n">
        <v>0</v>
      </c>
      <c r="V329" s="31" t="n">
        <v>0.7</v>
      </c>
      <c r="W329" s="31" t="n">
        <v>0</v>
      </c>
      <c r="X329" s="31" t="inlineStr">
        <is>
          <t>25'グッドラックハンデキャップ(2勝クラス)25'生田特別(1勝クラス)--&gt;</t>
        </is>
      </c>
      <c r="Y329" s="31" t="n">
        <v>2</v>
      </c>
      <c r="Z329" s="31" t="inlineStr">
        <is>
          <t>牡・420kg+</t>
        </is>
      </c>
    </row>
    <row r="330">
      <c r="A330" s="31" t="n">
        <v>2023</v>
      </c>
      <c r="B330" s="31" t="n">
        <v>54</v>
      </c>
      <c r="C330" s="31" t="inlineStr">
        <is>
          <t>ミスティークⅡの22</t>
        </is>
      </c>
      <c r="D330" s="31" t="inlineStr">
        <is>
          <t>ミスティカルボンド (Mystical Bond)</t>
        </is>
      </c>
      <c r="E330" s="31" t="inlineStr">
        <is>
          <t>キズナ</t>
        </is>
      </c>
      <c r="F330" s="31" t="inlineStr">
        <is>
          <t>メス</t>
        </is>
      </c>
      <c r="G330" s="31" t="n">
        <v>4</v>
      </c>
      <c r="H330" s="31" t="n">
        <v>13</v>
      </c>
      <c r="I330" s="31" t="n">
        <v>1</v>
      </c>
      <c r="J330" s="31" t="n">
        <v>3600</v>
      </c>
      <c r="K330" s="31" t="n">
        <v>415</v>
      </c>
      <c r="L330" s="31" t="n">
        <v>153</v>
      </c>
      <c r="M330" s="31" t="n">
        <v>174</v>
      </c>
      <c r="N330" s="31" t="n">
        <v>19.6</v>
      </c>
      <c r="O330" s="31" t="n">
        <v>400</v>
      </c>
      <c r="P330" s="31" t="inlineStr">
        <is>
          <t>須貝</t>
        </is>
      </c>
      <c r="Q330" s="31" t="inlineStr">
        <is>
          <t>1戦0勝</t>
        </is>
      </c>
      <c r="R330" s="31" t="n">
        <v>0</v>
      </c>
      <c r="S330" s="31" t="n">
        <v>0</v>
      </c>
      <c r="T330" s="31" t="n">
        <v>0</v>
      </c>
      <c r="U330" s="31" t="n">
        <v>0</v>
      </c>
      <c r="V330" s="31" t="n">
        <v>0</v>
      </c>
      <c r="W330" s="31" t="n">
        <v>0</v>
      </c>
      <c r="X330" s="31" t="inlineStr">
        <is>
          <t>--&gt;</t>
        </is>
      </c>
      <c r="Y330" s="31" t="n">
        <v>1</v>
      </c>
      <c r="Z330" s="31" t="inlineStr">
        <is>
          <t>価格帯</t>
        </is>
      </c>
    </row>
    <row r="331">
      <c r="A331" s="31" t="n">
        <v>2023</v>
      </c>
      <c r="B331" s="31" t="n">
        <v>55</v>
      </c>
      <c r="C331" s="31" t="inlineStr">
        <is>
          <t>アディクティドの22</t>
        </is>
      </c>
      <c r="D331" s="31" t="inlineStr">
        <is>
          <t>イマージョン (Immersion)</t>
        </is>
      </c>
      <c r="E331" s="31" t="inlineStr">
        <is>
          <t>ロードカナロア</t>
        </is>
      </c>
      <c r="F331" s="31" t="inlineStr">
        <is>
          <t>牡</t>
        </is>
      </c>
      <c r="G331" s="31" t="n">
        <v>4</v>
      </c>
      <c r="H331" s="31" t="n">
        <v>16</v>
      </c>
      <c r="I331" s="31" t="n">
        <v>1</v>
      </c>
      <c r="J331" s="31" t="n">
        <v>6000</v>
      </c>
      <c r="K331" s="31" t="n">
        <v>423</v>
      </c>
      <c r="L331" s="31" t="n">
        <v>150.5</v>
      </c>
      <c r="M331" s="31" t="n">
        <v>168.5</v>
      </c>
      <c r="N331" s="31" t="n">
        <v>20.2</v>
      </c>
      <c r="O331" s="31" t="n">
        <v>400</v>
      </c>
      <c r="P331" s="31" t="inlineStr">
        <is>
          <t>高野</t>
        </is>
      </c>
      <c r="Q331" s="31" t="inlineStr">
        <is>
          <t>16戦3勝</t>
        </is>
      </c>
      <c r="R331" s="31" t="n">
        <v>3</v>
      </c>
      <c r="S331" s="31" t="n">
        <v>0</v>
      </c>
      <c r="T331" s="31" t="n">
        <v>4608</v>
      </c>
      <c r="U331" s="31" t="n">
        <v>0</v>
      </c>
      <c r="V331" s="31" t="n">
        <v>0.77</v>
      </c>
      <c r="W331" s="31" t="n">
        <v>0</v>
      </c>
      <c r="X331" s="31" t="inlineStr">
        <is>
          <t>26'喜多方特別(2勝クラス)26'4歳以上1勝クラス--&gt;</t>
        </is>
      </c>
      <c r="Y331" s="31" t="n">
        <v>2</v>
      </c>
      <c r="Z331" s="31" t="inlineStr">
        <is>
          <t>牡・420kg+</t>
        </is>
      </c>
    </row>
    <row r="332">
      <c r="A332" s="31" t="n">
        <v>2023</v>
      </c>
      <c r="B332" s="31" t="n">
        <v>56</v>
      </c>
      <c r="C332" s="31" t="inlineStr">
        <is>
          <t>チャイマックスの22</t>
        </is>
      </c>
      <c r="D332" s="31" t="inlineStr">
        <is>
          <t>モルティフレーバー (Malty Flavor)</t>
        </is>
      </c>
      <c r="E332" s="31" t="inlineStr">
        <is>
          <t>キタサンブラック</t>
        </is>
      </c>
      <c r="F332" s="31" t="inlineStr">
        <is>
          <t>メス</t>
        </is>
      </c>
      <c r="G332" s="31" t="n">
        <v>2</v>
      </c>
      <c r="H332" s="31" t="n">
        <v>9</v>
      </c>
      <c r="I332" s="31" t="n">
        <v>1</v>
      </c>
      <c r="J332" s="31" t="n">
        <v>4000</v>
      </c>
      <c r="K332" s="31" t="n">
        <v>453</v>
      </c>
      <c r="L332" s="31" t="n">
        <v>158</v>
      </c>
      <c r="M332" s="31" t="n">
        <v>177</v>
      </c>
      <c r="N332" s="31" t="n">
        <v>21</v>
      </c>
      <c r="O332" s="31" t="n">
        <v>400</v>
      </c>
      <c r="P332" s="31" t="inlineStr">
        <is>
          <t>清水久</t>
        </is>
      </c>
      <c r="Q332" s="31" t="inlineStr">
        <is>
          <t>13戦1勝</t>
        </is>
      </c>
      <c r="R332" s="31" t="n">
        <v>1</v>
      </c>
      <c r="S332" s="31" t="n">
        <v>0</v>
      </c>
      <c r="T332" s="31" t="n">
        <v>1380</v>
      </c>
      <c r="U332" s="31" t="n">
        <v>0</v>
      </c>
      <c r="V332" s="31" t="n">
        <v>0.34</v>
      </c>
      <c r="W332" s="31" t="n">
        <v>0</v>
      </c>
      <c r="X332" s="31" t="inlineStr">
        <is>
          <t>24'2歳未勝利--&gt;</t>
        </is>
      </c>
      <c r="Y332" s="31" t="n">
        <v>1</v>
      </c>
      <c r="Z332" s="31" t="inlineStr">
        <is>
          <t>420kg+</t>
        </is>
      </c>
    </row>
    <row r="333">
      <c r="A333" s="31" t="n">
        <v>2023</v>
      </c>
      <c r="B333" s="31" t="n">
        <v>57</v>
      </c>
      <c r="C333" s="31" t="inlineStr">
        <is>
          <t>ハープスターの22</t>
        </is>
      </c>
      <c r="D333" s="31" t="inlineStr">
        <is>
          <t>ヴァルチャースター (Vulture Star)</t>
        </is>
      </c>
      <c r="E333" s="31" t="inlineStr">
        <is>
          <t>サートゥルナーリア</t>
        </is>
      </c>
      <c r="F333" s="31" t="inlineStr">
        <is>
          <t>牡</t>
        </is>
      </c>
      <c r="G333" s="31" t="n">
        <v>2</v>
      </c>
      <c r="H333" s="31" t="n">
        <v>11</v>
      </c>
      <c r="I333" s="31" t="n">
        <v>1</v>
      </c>
      <c r="J333" s="31" t="n">
        <v>12000</v>
      </c>
      <c r="K333" s="31" t="n">
        <v>428</v>
      </c>
      <c r="L333" s="31" t="n">
        <v>153</v>
      </c>
      <c r="M333" s="31" t="n">
        <v>175</v>
      </c>
      <c r="N333" s="31" t="n">
        <v>20</v>
      </c>
      <c r="O333" s="31" t="n">
        <v>400</v>
      </c>
      <c r="P333" s="31" t="inlineStr">
        <is>
          <t>池添</t>
        </is>
      </c>
      <c r="Q333" s="31" t="inlineStr">
        <is>
          <t>10戦5勝</t>
        </is>
      </c>
      <c r="R333" s="31" t="n">
        <v>0</v>
      </c>
      <c r="S333" s="31" t="n">
        <v>5</v>
      </c>
      <c r="T333" s="31" t="n">
        <v>128</v>
      </c>
      <c r="U333" s="31" t="n">
        <v>610</v>
      </c>
      <c r="V333" s="31" t="n">
        <v>0.06</v>
      </c>
      <c r="W333" s="31" t="n">
        <v>0</v>
      </c>
      <c r="X333" s="31" t="inlineStr">
        <is>
          <t>フラミンゴ・レディ賞C216 17--&gt;</t>
        </is>
      </c>
      <c r="Y333" s="31" t="n">
        <v>2</v>
      </c>
      <c r="Z333" s="31" t="inlineStr">
        <is>
          <t>牡・420kg+</t>
        </is>
      </c>
    </row>
    <row r="334">
      <c r="A334" s="31" t="n">
        <v>2023</v>
      </c>
      <c r="B334" s="31" t="n">
        <v>58</v>
      </c>
      <c r="C334" s="31" t="inlineStr">
        <is>
          <t>ダイワプロパーの22</t>
        </is>
      </c>
      <c r="D334" s="31" t="inlineStr">
        <is>
          <t>ストラーダレアーレ (Strada Reale)</t>
        </is>
      </c>
      <c r="E334" s="31" t="inlineStr">
        <is>
          <t>サートゥルナーリア</t>
        </is>
      </c>
      <c r="F334" s="31" t="inlineStr">
        <is>
          <t>牡</t>
        </is>
      </c>
      <c r="G334" s="31" t="n">
        <v>4</v>
      </c>
      <c r="H334" s="31" t="n">
        <v>10</v>
      </c>
      <c r="I334" s="31" t="n">
        <v>1</v>
      </c>
      <c r="J334" s="31" t="n">
        <v>5000</v>
      </c>
      <c r="K334" s="31" t="n">
        <v>441</v>
      </c>
      <c r="L334" s="31" t="n">
        <v>152</v>
      </c>
      <c r="M334" s="31" t="n">
        <v>170.5</v>
      </c>
      <c r="N334" s="31" t="n">
        <v>19.8</v>
      </c>
      <c r="O334" s="31" t="n">
        <v>400</v>
      </c>
      <c r="P334" s="31" t="inlineStr">
        <is>
          <t>大久保</t>
        </is>
      </c>
      <c r="Q334" s="31" t="inlineStr">
        <is>
          <t>13戦1勝</t>
        </is>
      </c>
      <c r="R334" s="31" t="n">
        <v>0</v>
      </c>
      <c r="S334" s="31" t="n">
        <v>1</v>
      </c>
      <c r="T334" s="31" t="n">
        <v>224</v>
      </c>
      <c r="U334" s="31" t="n">
        <v>205</v>
      </c>
      <c r="V334" s="31" t="n">
        <v>0.09</v>
      </c>
      <c r="W334" s="31" t="n">
        <v>0</v>
      </c>
      <c r="X334" s="31" t="inlineStr">
        <is>
          <t>C2五 六--&gt;</t>
        </is>
      </c>
      <c r="Y334" s="31" t="n">
        <v>2</v>
      </c>
      <c r="Z334" s="31" t="inlineStr">
        <is>
          <t>牡・420kg+</t>
        </is>
      </c>
    </row>
    <row r="335">
      <c r="A335" s="31" t="n">
        <v>2023</v>
      </c>
      <c r="B335" s="31" t="n">
        <v>59</v>
      </c>
      <c r="C335" s="31" t="inlineStr">
        <is>
          <t>リカビトスの22</t>
        </is>
      </c>
      <c r="D335" s="31" t="inlineStr">
        <is>
          <t>カンピドリオ (Campidoglio)</t>
        </is>
      </c>
      <c r="E335" s="31" t="inlineStr">
        <is>
          <t>ドゥラメンテ</t>
        </is>
      </c>
      <c r="F335" s="31" t="inlineStr">
        <is>
          <t>牡</t>
        </is>
      </c>
      <c r="G335" s="31" t="n">
        <v>3</v>
      </c>
      <c r="H335" s="31" t="n">
        <v>8</v>
      </c>
      <c r="I335" s="31" t="n">
        <v>1</v>
      </c>
      <c r="J335" s="31" t="n">
        <v>6000</v>
      </c>
      <c r="K335" s="31" t="n">
        <v>432</v>
      </c>
      <c r="L335" s="31" t="n">
        <v>152.5</v>
      </c>
      <c r="M335" s="31" t="n">
        <v>175.5</v>
      </c>
      <c r="N335" s="31" t="n">
        <v>20</v>
      </c>
      <c r="O335" s="31" t="n">
        <v>400</v>
      </c>
      <c r="P335" s="31" t="inlineStr">
        <is>
          <t>中内田</t>
        </is>
      </c>
      <c r="Q335" s="31" t="inlineStr">
        <is>
          <t>4戦1勝</t>
        </is>
      </c>
      <c r="R335" s="31" t="n">
        <v>1</v>
      </c>
      <c r="S335" s="31" t="n">
        <v>0</v>
      </c>
      <c r="T335" s="31" t="n">
        <v>740</v>
      </c>
      <c r="U335" s="31" t="n">
        <v>0</v>
      </c>
      <c r="V335" s="31" t="n">
        <v>0.12</v>
      </c>
      <c r="W335" s="31" t="n">
        <v>0</v>
      </c>
      <c r="X335" s="31" t="inlineStr">
        <is>
          <t>25'3歳未勝利--&gt;</t>
        </is>
      </c>
      <c r="Y335" s="31" t="n">
        <v>2</v>
      </c>
      <c r="Z335" s="31" t="inlineStr">
        <is>
          <t>牡・420kg+</t>
        </is>
      </c>
    </row>
    <row r="336">
      <c r="A336" s="31" t="n">
        <v>2023</v>
      </c>
      <c r="B336" s="31" t="n">
        <v>60</v>
      </c>
      <c r="C336" s="31" t="inlineStr">
        <is>
          <t>キラーグレイシスの22</t>
        </is>
      </c>
      <c r="D336" s="31" t="inlineStr">
        <is>
          <t>キラーチューン (Killer Tune)</t>
        </is>
      </c>
      <c r="E336" s="31" t="inlineStr">
        <is>
          <t>ドゥラメンテ</t>
        </is>
      </c>
      <c r="F336" s="31" t="inlineStr">
        <is>
          <t>メス</t>
        </is>
      </c>
      <c r="G336" s="31" t="n">
        <v>2</v>
      </c>
      <c r="H336" s="31" t="n">
        <v>13</v>
      </c>
      <c r="I336" s="31" t="n">
        <v>1</v>
      </c>
      <c r="J336" s="31" t="n">
        <v>6000</v>
      </c>
      <c r="K336" s="31" t="n">
        <v>443</v>
      </c>
      <c r="L336" s="31" t="n">
        <v>151.5</v>
      </c>
      <c r="M336" s="31" t="n">
        <v>176.5</v>
      </c>
      <c r="N336" s="31" t="n">
        <v>19.5</v>
      </c>
      <c r="O336" s="31" t="n">
        <v>400</v>
      </c>
      <c r="P336" s="31" t="inlineStr">
        <is>
          <t>斉藤崇</t>
        </is>
      </c>
      <c r="Q336" s="31" t="inlineStr">
        <is>
          <t>3戦0勝</t>
        </is>
      </c>
      <c r="R336" s="31" t="n">
        <v>0</v>
      </c>
      <c r="S336" s="31" t="n">
        <v>0</v>
      </c>
      <c r="T336" s="31" t="n">
        <v>0</v>
      </c>
      <c r="U336" s="31" t="n">
        <v>0</v>
      </c>
      <c r="V336" s="31" t="n">
        <v>0</v>
      </c>
      <c r="W336" s="31" t="n">
        <v>0</v>
      </c>
      <c r="X336" s="31" t="inlineStr">
        <is>
          <t>--&gt;</t>
        </is>
      </c>
      <c r="Y336" s="31" t="n">
        <v>1</v>
      </c>
      <c r="Z336" s="31" t="inlineStr">
        <is>
          <t>420kg+</t>
        </is>
      </c>
    </row>
    <row r="337">
      <c r="A337" s="31" t="n">
        <v>2023</v>
      </c>
      <c r="B337" s="31" t="n">
        <v>61</v>
      </c>
      <c r="C337" s="31" t="inlineStr">
        <is>
          <t>フォトコールの22</t>
        </is>
      </c>
      <c r="D337" s="31" t="inlineStr">
        <is>
          <t>プレスジャンケット (Press Junket)</t>
        </is>
      </c>
      <c r="E337" s="31" t="inlineStr">
        <is>
          <t>ドゥラメンテ</t>
        </is>
      </c>
      <c r="F337" s="31" t="inlineStr">
        <is>
          <t>メス</t>
        </is>
      </c>
      <c r="G337" s="31" t="n">
        <v>3</v>
      </c>
      <c r="H337" s="31" t="n">
        <v>11</v>
      </c>
      <c r="I337" s="31" t="n">
        <v>1</v>
      </c>
      <c r="J337" s="31" t="n">
        <v>6000</v>
      </c>
      <c r="K337" s="31" t="n">
        <v>427</v>
      </c>
      <c r="L337" s="31" t="n">
        <v>159</v>
      </c>
      <c r="M337" s="31" t="n">
        <v>174.5</v>
      </c>
      <c r="N337" s="31" t="n">
        <v>19.8</v>
      </c>
      <c r="O337" s="31" t="n">
        <v>400</v>
      </c>
      <c r="P337" s="31" t="inlineStr">
        <is>
          <t>渡辺</t>
        </is>
      </c>
      <c r="Q337" s="31" t="inlineStr">
        <is>
          <t>6戦0勝</t>
        </is>
      </c>
      <c r="R337" s="31" t="n">
        <v>0</v>
      </c>
      <c r="S337" s="31" t="n">
        <v>0</v>
      </c>
      <c r="T337" s="31" t="n">
        <v>0</v>
      </c>
      <c r="U337" s="31" t="n">
        <v>0</v>
      </c>
      <c r="V337" s="31" t="n">
        <v>0</v>
      </c>
      <c r="W337" s="31" t="n">
        <v>0</v>
      </c>
      <c r="X337" s="31" t="inlineStr">
        <is>
          <t>--&gt;</t>
        </is>
      </c>
      <c r="Y337" s="31" t="n">
        <v>1</v>
      </c>
      <c r="Z337" s="31" t="inlineStr">
        <is>
          <t>420kg+</t>
        </is>
      </c>
    </row>
    <row r="338">
      <c r="A338" s="31" t="n">
        <v>2023</v>
      </c>
      <c r="B338" s="31" t="n">
        <v>62</v>
      </c>
      <c r="C338" s="31" t="inlineStr">
        <is>
          <t>マラコスタムブラダの22</t>
        </is>
      </c>
      <c r="D338" s="31" t="inlineStr">
        <is>
          <t>エスタンシア (Estancia)</t>
        </is>
      </c>
      <c r="E338" s="31" t="inlineStr">
        <is>
          <t>ドゥラメンテ</t>
        </is>
      </c>
      <c r="F338" s="31" t="inlineStr">
        <is>
          <t>メス</t>
        </is>
      </c>
      <c r="G338" s="31" t="n">
        <v>3</v>
      </c>
      <c r="H338" s="31" t="n">
        <v>12</v>
      </c>
      <c r="I338" s="31" t="n">
        <v>1</v>
      </c>
      <c r="J338" s="31" t="n">
        <v>7000</v>
      </c>
      <c r="K338" s="31" t="n">
        <v>433</v>
      </c>
      <c r="L338" s="31" t="n">
        <v>154.5</v>
      </c>
      <c r="M338" s="31" t="n">
        <v>174</v>
      </c>
      <c r="N338" s="31" t="n">
        <v>20</v>
      </c>
      <c r="O338" s="31" t="n">
        <v>400</v>
      </c>
      <c r="P338" s="31" t="inlineStr">
        <is>
          <t>松下</t>
        </is>
      </c>
      <c r="Q338" s="31" t="inlineStr">
        <is>
          <t>10戦0勝</t>
        </is>
      </c>
      <c r="R338" s="31" t="n">
        <v>0</v>
      </c>
      <c r="S338" s="31" t="n">
        <v>0</v>
      </c>
      <c r="T338" s="31" t="n">
        <v>931</v>
      </c>
      <c r="U338" s="31" t="n">
        <v>0</v>
      </c>
      <c r="V338" s="31" t="n">
        <v>0.13</v>
      </c>
      <c r="W338" s="31" t="n">
        <v>0</v>
      </c>
      <c r="X338" s="31" t="inlineStr">
        <is>
          <t>--&gt;</t>
        </is>
      </c>
      <c r="Y338" s="31" t="n">
        <v>1</v>
      </c>
      <c r="Z338" s="31" t="inlineStr">
        <is>
          <t>420kg+</t>
        </is>
      </c>
    </row>
    <row r="339">
      <c r="A339" s="31" t="n">
        <v>2023</v>
      </c>
      <c r="B339" s="31" t="n">
        <v>63</v>
      </c>
      <c r="C339" s="31" t="inlineStr">
        <is>
          <t>エリティエールの22</t>
        </is>
      </c>
      <c r="D339" s="31" t="inlineStr">
        <is>
          <t>バースライト (Birthright)</t>
        </is>
      </c>
      <c r="E339" s="31" t="inlineStr">
        <is>
          <t>モーリス</t>
        </is>
      </c>
      <c r="F339" s="31" t="inlineStr">
        <is>
          <t>牡</t>
        </is>
      </c>
      <c r="G339" s="31" t="n">
        <v>2</v>
      </c>
      <c r="H339" s="31" t="n">
        <v>8</v>
      </c>
      <c r="I339" s="31" t="n">
        <v>1</v>
      </c>
      <c r="J339" s="31" t="n">
        <v>4600</v>
      </c>
      <c r="K339" s="31" t="n">
        <v>478</v>
      </c>
      <c r="L339" s="31" t="n">
        <v>157</v>
      </c>
      <c r="M339" s="31" t="n">
        <v>180.5</v>
      </c>
      <c r="N339" s="31" t="n">
        <v>21.4</v>
      </c>
      <c r="O339" s="31" t="n">
        <v>400</v>
      </c>
      <c r="P339" s="31" t="inlineStr">
        <is>
          <t>武幸</t>
        </is>
      </c>
      <c r="Q339" s="31" t="inlineStr">
        <is>
          <t>9戦2勝</t>
        </is>
      </c>
      <c r="R339" s="31" t="n">
        <v>2</v>
      </c>
      <c r="S339" s="31" t="n">
        <v>0</v>
      </c>
      <c r="T339" s="31" t="n">
        <v>2660</v>
      </c>
      <c r="U339" s="31" t="n">
        <v>0</v>
      </c>
      <c r="V339" s="31" t="n">
        <v>0.58</v>
      </c>
      <c r="W339" s="31" t="n">
        <v>0</v>
      </c>
      <c r="X339" s="31" t="inlineStr">
        <is>
          <t>26'脊振山特別(1勝クラス)24'2歳新馬--&gt;</t>
        </is>
      </c>
      <c r="Y339" s="31" t="n">
        <v>2</v>
      </c>
      <c r="Z339" s="31" t="inlineStr">
        <is>
          <t>牡・420kg+</t>
        </is>
      </c>
    </row>
    <row r="340">
      <c r="A340" s="31" t="n">
        <v>2023</v>
      </c>
      <c r="B340" s="31" t="n">
        <v>64</v>
      </c>
      <c r="C340" s="31" t="inlineStr">
        <is>
          <t>フィニフティの22</t>
        </is>
      </c>
      <c r="D340" s="31" t="inlineStr">
        <is>
          <t>ロンドボス (Ronde Bosse)</t>
        </is>
      </c>
      <c r="E340" s="31" t="inlineStr">
        <is>
          <t>モーリス</t>
        </is>
      </c>
      <c r="F340" s="31" t="inlineStr">
        <is>
          <t>メス</t>
        </is>
      </c>
      <c r="G340" s="31" t="n">
        <v>1</v>
      </c>
      <c r="H340" s="31" t="n">
        <v>7</v>
      </c>
      <c r="I340" s="31" t="n">
        <v>1</v>
      </c>
      <c r="J340" s="31" t="n">
        <v>4000</v>
      </c>
      <c r="K340" s="31" t="n">
        <v>458</v>
      </c>
      <c r="L340" s="31" t="n">
        <v>157</v>
      </c>
      <c r="M340" s="31" t="n">
        <v>177.5</v>
      </c>
      <c r="N340" s="31" t="n">
        <v>20.4</v>
      </c>
      <c r="O340" s="31" t="n">
        <v>400</v>
      </c>
      <c r="P340" s="31" t="inlineStr">
        <is>
          <t>藤原</t>
        </is>
      </c>
      <c r="Q340" s="31" t="inlineStr">
        <is>
          <t>14戦2勝</t>
        </is>
      </c>
      <c r="R340" s="31" t="n">
        <v>2</v>
      </c>
      <c r="S340" s="31" t="n">
        <v>0</v>
      </c>
      <c r="T340" s="31" t="n">
        <v>3905</v>
      </c>
      <c r="U340" s="31" t="n">
        <v>0</v>
      </c>
      <c r="V340" s="31" t="n">
        <v>0.98</v>
      </c>
      <c r="W340" s="31" t="n">
        <v>0</v>
      </c>
      <c r="X340" s="31" t="inlineStr">
        <is>
          <t>25'3歳以上1勝クラス24'2歳新馬--&gt;</t>
        </is>
      </c>
      <c r="Y340" s="31" t="n">
        <v>1</v>
      </c>
      <c r="Z340" s="31" t="inlineStr">
        <is>
          <t>420kg+</t>
        </is>
      </c>
    </row>
    <row r="341">
      <c r="A341" s="31" t="n">
        <v>2023</v>
      </c>
      <c r="B341" s="31" t="n">
        <v>65</v>
      </c>
      <c r="C341" s="31" t="inlineStr">
        <is>
          <t>ローガンサファイアの22</t>
        </is>
      </c>
      <c r="D341" s="31" t="inlineStr">
        <is>
          <t>ローガンサファイアの2022</t>
        </is>
      </c>
      <c r="E341" s="31" t="inlineStr">
        <is>
          <t>レイデオロ</t>
        </is>
      </c>
      <c r="F341" s="31" t="inlineStr">
        <is>
          <t>メス</t>
        </is>
      </c>
      <c r="G341" s="31" t="n">
        <v>2</v>
      </c>
      <c r="H341" s="31" t="n">
        <v>12</v>
      </c>
      <c r="I341" s="31" t="n">
        <v>1</v>
      </c>
      <c r="J341" s="31" t="n">
        <v>3600</v>
      </c>
      <c r="K341" s="31" t="n">
        <v>433</v>
      </c>
      <c r="L341" s="31" t="n">
        <v>153</v>
      </c>
      <c r="M341" s="31" t="n">
        <v>172</v>
      </c>
      <c r="N341" s="31" t="n">
        <v>19.8</v>
      </c>
      <c r="O341" s="31" t="n">
        <v>400</v>
      </c>
      <c r="P341" s="31" t="inlineStr">
        <is>
          <t>高橋亮</t>
        </is>
      </c>
      <c r="Q341" s="31" t="inlineStr">
        <is>
          <t>0戦0勝</t>
        </is>
      </c>
      <c r="R341" s="31" t="n">
        <v>0</v>
      </c>
      <c r="S341" s="31" t="n">
        <v>0</v>
      </c>
      <c r="T341" s="31" t="n">
        <v>0</v>
      </c>
      <c r="U341" s="31" t="n">
        <v>0</v>
      </c>
      <c r="V341" s="31" t="n">
        <v>0</v>
      </c>
      <c r="W341" s="31" t="n">
        <v>0</v>
      </c>
      <c r="X341" s="31" t="inlineStr">
        <is>
          <t>--&gt;</t>
        </is>
      </c>
      <c r="Y341" s="31" t="n">
        <v>2</v>
      </c>
      <c r="Z341" s="31" t="inlineStr">
        <is>
          <t>価格帯・420kg+</t>
        </is>
      </c>
    </row>
    <row r="342">
      <c r="A342" s="31" t="n">
        <v>2023</v>
      </c>
      <c r="B342" s="31" t="n">
        <v>66</v>
      </c>
      <c r="C342" s="31" t="inlineStr">
        <is>
          <t>アロマドゥルセの22</t>
        </is>
      </c>
      <c r="D342" s="31" t="inlineStr">
        <is>
          <t>アロマフェリス (Aroma Feliz)</t>
        </is>
      </c>
      <c r="E342" s="31" t="inlineStr">
        <is>
          <t>レイデオロ</t>
        </is>
      </c>
      <c r="F342" s="31" t="inlineStr">
        <is>
          <t>メス</t>
        </is>
      </c>
      <c r="G342" s="31" t="n">
        <v>3</v>
      </c>
      <c r="H342" s="31" t="n">
        <v>8</v>
      </c>
      <c r="I342" s="31" t="n">
        <v>1</v>
      </c>
      <c r="J342" s="31" t="n">
        <v>3000</v>
      </c>
      <c r="K342" s="31" t="n">
        <v>394</v>
      </c>
      <c r="L342" s="31" t="n">
        <v>152.5</v>
      </c>
      <c r="M342" s="31" t="n">
        <v>172</v>
      </c>
      <c r="N342" s="31" t="n">
        <v>18.6</v>
      </c>
      <c r="O342" s="31" t="n">
        <v>400</v>
      </c>
      <c r="P342" s="31" t="inlineStr">
        <is>
          <t>辻野</t>
        </is>
      </c>
      <c r="Q342" s="31" t="inlineStr">
        <is>
          <t>13戦1勝</t>
        </is>
      </c>
      <c r="R342" s="31" t="n">
        <v>1</v>
      </c>
      <c r="S342" s="31" t="n">
        <v>0</v>
      </c>
      <c r="T342" s="31" t="n">
        <v>2654</v>
      </c>
      <c r="U342" s="31" t="n">
        <v>0</v>
      </c>
      <c r="V342" s="31" t="n">
        <v>0.88</v>
      </c>
      <c r="W342" s="31" t="n">
        <v>0</v>
      </c>
      <c r="X342" s="31" t="inlineStr">
        <is>
          <t>26'4歳以上1勝クラス--&gt;</t>
        </is>
      </c>
      <c r="Y342" s="31" t="n">
        <v>1</v>
      </c>
      <c r="Z342" s="31" t="inlineStr">
        <is>
          <t>価格帯</t>
        </is>
      </c>
    </row>
    <row r="343">
      <c r="A343" s="31" t="n">
        <v>2023</v>
      </c>
      <c r="B343" s="31" t="n">
        <v>67</v>
      </c>
      <c r="C343" s="31" t="inlineStr">
        <is>
          <t>プルメリアスターの22</t>
        </is>
      </c>
      <c r="D343" s="31" t="inlineStr">
        <is>
          <t>アラマンダ (Allamanda)</t>
        </is>
      </c>
      <c r="E343" s="31" t="inlineStr">
        <is>
          <t>レイデオロ</t>
        </is>
      </c>
      <c r="F343" s="31" t="inlineStr">
        <is>
          <t>メス</t>
        </is>
      </c>
      <c r="G343" s="31" t="n">
        <v>3</v>
      </c>
      <c r="H343" s="31" t="n">
        <v>10</v>
      </c>
      <c r="I343" s="31" t="n">
        <v>1</v>
      </c>
      <c r="J343" s="31" t="n">
        <v>3000</v>
      </c>
      <c r="K343" s="31" t="n">
        <v>406</v>
      </c>
      <c r="L343" s="31" t="n">
        <v>155.5</v>
      </c>
      <c r="M343" s="31" t="n">
        <v>169</v>
      </c>
      <c r="N343" s="31" t="n">
        <v>20</v>
      </c>
      <c r="O343" s="31" t="n">
        <v>400</v>
      </c>
      <c r="P343" s="31" t="inlineStr">
        <is>
          <t>平田</t>
        </is>
      </c>
      <c r="Q343" s="31" t="inlineStr">
        <is>
          <t>4戦0勝</t>
        </is>
      </c>
      <c r="R343" s="31" t="n">
        <v>0</v>
      </c>
      <c r="S343" s="31" t="n">
        <v>0</v>
      </c>
      <c r="T343" s="31" t="n">
        <v>0</v>
      </c>
      <c r="U343" s="31" t="n">
        <v>0</v>
      </c>
      <c r="V343" s="31" t="n">
        <v>0</v>
      </c>
      <c r="W343" s="31" t="n">
        <v>0</v>
      </c>
      <c r="X343" s="31" t="inlineStr">
        <is>
          <t>--&gt;</t>
        </is>
      </c>
      <c r="Y343" s="31" t="n">
        <v>1</v>
      </c>
      <c r="Z343" s="31" t="inlineStr">
        <is>
          <t>価格帯</t>
        </is>
      </c>
    </row>
    <row r="344">
      <c r="A344" s="31" t="n">
        <v>2023</v>
      </c>
      <c r="B344" s="31" t="n">
        <v>68</v>
      </c>
      <c r="C344" s="31" t="inlineStr">
        <is>
          <t>ディーパワンサの22</t>
        </is>
      </c>
      <c r="D344" s="31" t="inlineStr">
        <is>
          <t>チューラワンサ (Culavamsa)</t>
        </is>
      </c>
      <c r="E344" s="31" t="inlineStr">
        <is>
          <t>レイデオロ</t>
        </is>
      </c>
      <c r="F344" s="31" t="inlineStr">
        <is>
          <t>メス</t>
        </is>
      </c>
      <c r="G344" s="31" t="n">
        <v>4</v>
      </c>
      <c r="H344" s="31" t="n">
        <v>8</v>
      </c>
      <c r="I344" s="31" t="n">
        <v>1</v>
      </c>
      <c r="J344" s="31" t="n">
        <v>4000</v>
      </c>
      <c r="K344" s="31" t="n">
        <v>402</v>
      </c>
      <c r="L344" s="31" t="n">
        <v>151</v>
      </c>
      <c r="M344" s="31" t="n">
        <v>174.5</v>
      </c>
      <c r="N344" s="31" t="n">
        <v>18.8</v>
      </c>
      <c r="O344" s="31" t="n">
        <v>400</v>
      </c>
      <c r="P344" s="31" t="inlineStr">
        <is>
          <t>高野</t>
        </is>
      </c>
      <c r="Q344" s="31" t="inlineStr">
        <is>
          <t>10戦3勝</t>
        </is>
      </c>
      <c r="R344" s="31" t="n">
        <v>3</v>
      </c>
      <c r="S344" s="31" t="n">
        <v>0</v>
      </c>
      <c r="T344" s="31" t="n">
        <v>2925</v>
      </c>
      <c r="U344" s="31" t="n">
        <v>0</v>
      </c>
      <c r="V344" s="31" t="n">
        <v>0.73</v>
      </c>
      <c r="W344" s="31" t="n">
        <v>0</v>
      </c>
      <c r="X344" s="31" t="inlineStr">
        <is>
          <t>25'3歳以上2勝クラス25'3歳以上1勝クラス--&gt;</t>
        </is>
      </c>
      <c r="Y344" s="31" t="n">
        <v>0</v>
      </c>
      <c r="Z344" s="31" t="inlineStr"/>
    </row>
    <row r="345">
      <c r="A345" s="31" t="n">
        <v>2023</v>
      </c>
      <c r="B345" s="31" t="n">
        <v>69</v>
      </c>
      <c r="C345" s="31" t="inlineStr">
        <is>
          <t>クァンタムミスの22</t>
        </is>
      </c>
      <c r="D345" s="31" t="inlineStr">
        <is>
          <t>クァンタムウェーブ (Quantum Wave)</t>
        </is>
      </c>
      <c r="E345" s="31" t="inlineStr">
        <is>
          <t>ナダル</t>
        </is>
      </c>
      <c r="F345" s="31" t="inlineStr">
        <is>
          <t>牡</t>
        </is>
      </c>
      <c r="G345" s="31" t="n">
        <v>2</v>
      </c>
      <c r="H345" s="31" t="n">
        <v>14</v>
      </c>
      <c r="I345" s="31" t="n">
        <v>1</v>
      </c>
      <c r="J345" s="31" t="n">
        <v>3600</v>
      </c>
      <c r="K345" s="31" t="n">
        <v>488</v>
      </c>
      <c r="L345" s="31" t="n">
        <v>154</v>
      </c>
      <c r="M345" s="31" t="n">
        <v>178</v>
      </c>
      <c r="N345" s="31" t="n">
        <v>21.6</v>
      </c>
      <c r="O345" s="31" t="n">
        <v>400</v>
      </c>
      <c r="P345" s="31" t="inlineStr">
        <is>
          <t>松永幹</t>
        </is>
      </c>
      <c r="Q345" s="31" t="inlineStr">
        <is>
          <t>7戦2勝</t>
        </is>
      </c>
      <c r="R345" s="31" t="n">
        <v>2</v>
      </c>
      <c r="S345" s="31" t="n">
        <v>0</v>
      </c>
      <c r="T345" s="31" t="n">
        <v>2096</v>
      </c>
      <c r="U345" s="31" t="n">
        <v>840</v>
      </c>
      <c r="V345" s="31" t="n">
        <v>0.82</v>
      </c>
      <c r="W345" s="31" t="n">
        <v>0</v>
      </c>
      <c r="X345" s="31" t="inlineStr">
        <is>
          <t>24'もちの木賞(1勝クラス)24'2歳新馬--&gt;</t>
        </is>
      </c>
      <c r="Y345" s="31" t="n">
        <v>3</v>
      </c>
      <c r="Z345" s="31" t="inlineStr">
        <is>
          <t>牡・価格帯・420kg+</t>
        </is>
      </c>
    </row>
    <row r="346">
      <c r="A346" s="31" t="n">
        <v>2023</v>
      </c>
      <c r="B346" s="31" t="n">
        <v>70</v>
      </c>
      <c r="C346" s="31" t="inlineStr">
        <is>
          <t>ボールドアテンプトの22</t>
        </is>
      </c>
      <c r="D346" s="31" t="inlineStr">
        <is>
          <t>ステイクオール (Stake All)</t>
        </is>
      </c>
      <c r="E346" s="31" t="inlineStr">
        <is>
          <t>ナダル</t>
        </is>
      </c>
      <c r="F346" s="31" t="inlineStr">
        <is>
          <t>メス</t>
        </is>
      </c>
      <c r="G346" s="31" t="n">
        <v>3</v>
      </c>
      <c r="H346" s="31" t="n">
        <v>9</v>
      </c>
      <c r="I346" s="31" t="n">
        <v>1</v>
      </c>
      <c r="J346" s="31" t="n">
        <v>3000</v>
      </c>
      <c r="K346" s="31" t="n">
        <v>475</v>
      </c>
      <c r="L346" s="31" t="n">
        <v>157</v>
      </c>
      <c r="M346" s="31" t="n">
        <v>177</v>
      </c>
      <c r="N346" s="31" t="n">
        <v>20.6</v>
      </c>
      <c r="O346" s="31" t="n">
        <v>400</v>
      </c>
      <c r="P346" s="31" t="inlineStr">
        <is>
          <t>上村</t>
        </is>
      </c>
      <c r="Q346" s="31" t="inlineStr">
        <is>
          <t>11戦1勝</t>
        </is>
      </c>
      <c r="R346" s="31" t="n">
        <v>1</v>
      </c>
      <c r="S346" s="31" t="n">
        <v>0</v>
      </c>
      <c r="T346" s="31" t="n">
        <v>1330</v>
      </c>
      <c r="U346" s="31" t="n">
        <v>0</v>
      </c>
      <c r="V346" s="31" t="n">
        <v>0.44</v>
      </c>
      <c r="W346" s="31" t="n">
        <v>0</v>
      </c>
      <c r="X346" s="31" t="inlineStr">
        <is>
          <t>24'2歳新馬--&gt;</t>
        </is>
      </c>
      <c r="Y346" s="31" t="n">
        <v>2</v>
      </c>
      <c r="Z346" s="31" t="inlineStr">
        <is>
          <t>価格帯・420kg+</t>
        </is>
      </c>
    </row>
    <row r="347">
      <c r="A347" s="31" t="n">
        <v>2023</v>
      </c>
      <c r="B347" s="31" t="n">
        <v>71</v>
      </c>
      <c r="C347" s="31" t="inlineStr">
        <is>
          <t>エスティタートの22</t>
        </is>
      </c>
      <c r="D347" s="31" t="inlineStr">
        <is>
          <t>カロローザ (Calorosa)</t>
        </is>
      </c>
      <c r="E347" s="31" t="inlineStr">
        <is>
          <t>ナダル</t>
        </is>
      </c>
      <c r="F347" s="31" t="inlineStr">
        <is>
          <t>メス</t>
        </is>
      </c>
      <c r="G347" s="31" t="n">
        <v>2</v>
      </c>
      <c r="H347" s="31" t="n">
        <v>9</v>
      </c>
      <c r="I347" s="31" t="n">
        <v>1</v>
      </c>
      <c r="J347" s="31" t="n">
        <v>2800</v>
      </c>
      <c r="K347" s="31" t="n">
        <v>469</v>
      </c>
      <c r="L347" s="31" t="n">
        <v>155.5</v>
      </c>
      <c r="M347" s="31" t="n">
        <v>179</v>
      </c>
      <c r="N347" s="31" t="n">
        <v>20.2</v>
      </c>
      <c r="O347" s="31" t="n">
        <v>400</v>
      </c>
      <c r="P347" s="31" t="inlineStr">
        <is>
          <t>松永幹</t>
        </is>
      </c>
      <c r="Q347" s="31" t="inlineStr">
        <is>
          <t>10戦2勝</t>
        </is>
      </c>
      <c r="R347" s="31" t="n">
        <v>2</v>
      </c>
      <c r="S347" s="31" t="n">
        <v>0</v>
      </c>
      <c r="T347" s="31" t="n">
        <v>1980</v>
      </c>
      <c r="U347" s="31" t="n">
        <v>0</v>
      </c>
      <c r="V347" s="31" t="n">
        <v>0.71</v>
      </c>
      <c r="W347" s="31" t="n">
        <v>0</v>
      </c>
      <c r="X347" s="31" t="inlineStr">
        <is>
          <t>25'3歳以上1勝クラス24'2歳未勝利--&gt;</t>
        </is>
      </c>
      <c r="Y347" s="31" t="n">
        <v>2</v>
      </c>
      <c r="Z347" s="31" t="inlineStr">
        <is>
          <t>価格帯・420kg+</t>
        </is>
      </c>
    </row>
    <row r="348">
      <c r="A348" s="31" t="n">
        <v>2023</v>
      </c>
      <c r="B348" s="31" t="n">
        <v>72</v>
      </c>
      <c r="C348" s="31" t="inlineStr">
        <is>
          <t>カイカヨソウの22</t>
        </is>
      </c>
      <c r="D348" s="31" t="inlineStr">
        <is>
          <t>セレジェイラ (Cerejeira)</t>
        </is>
      </c>
      <c r="E348" s="31" t="inlineStr">
        <is>
          <t>ナダル</t>
        </is>
      </c>
      <c r="F348" s="31" t="inlineStr">
        <is>
          <t>メス</t>
        </is>
      </c>
      <c r="G348" s="31" t="n">
        <v>3</v>
      </c>
      <c r="H348" s="31" t="n">
        <v>12</v>
      </c>
      <c r="I348" s="31" t="n">
        <v>1</v>
      </c>
      <c r="J348" s="31" t="n">
        <v>2800</v>
      </c>
      <c r="K348" s="31" t="n">
        <v>449</v>
      </c>
      <c r="L348" s="31" t="n">
        <v>155.5</v>
      </c>
      <c r="M348" s="31" t="n">
        <v>180</v>
      </c>
      <c r="N348" s="31" t="n">
        <v>19.6</v>
      </c>
      <c r="O348" s="31" t="n">
        <v>400</v>
      </c>
      <c r="P348" s="31" t="inlineStr">
        <is>
          <t>西村</t>
        </is>
      </c>
      <c r="Q348" s="31" t="inlineStr">
        <is>
          <t>10戦2勝</t>
        </is>
      </c>
      <c r="R348" s="31" t="n">
        <v>2</v>
      </c>
      <c r="S348" s="31" t="n">
        <v>0</v>
      </c>
      <c r="T348" s="31" t="n">
        <v>1850</v>
      </c>
      <c r="U348" s="31" t="n">
        <v>0</v>
      </c>
      <c r="V348" s="31" t="n">
        <v>0.66</v>
      </c>
      <c r="W348" s="31" t="n">
        <v>0</v>
      </c>
      <c r="X348" s="31" t="inlineStr">
        <is>
          <t>25'3歳以上1勝クラス25'3歳未勝利--&gt;</t>
        </is>
      </c>
      <c r="Y348" s="31" t="n">
        <v>2</v>
      </c>
      <c r="Z348" s="31" t="inlineStr">
        <is>
          <t>価格帯・420kg+</t>
        </is>
      </c>
    </row>
    <row r="349">
      <c r="A349" s="31" t="n">
        <v>2023</v>
      </c>
      <c r="B349" s="31" t="n">
        <v>73</v>
      </c>
      <c r="C349" s="31" t="inlineStr">
        <is>
          <t>アドヴェントスの22</t>
        </is>
      </c>
      <c r="D349" s="31" t="inlineStr">
        <is>
          <t>フィングステン (Pfingsten)</t>
        </is>
      </c>
      <c r="E349" s="31" t="inlineStr">
        <is>
          <t>ドレフォン</t>
        </is>
      </c>
      <c r="F349" s="31" t="inlineStr">
        <is>
          <t>メス</t>
        </is>
      </c>
      <c r="G349" s="31" t="n">
        <v>1</v>
      </c>
      <c r="H349" s="31" t="n">
        <v>9</v>
      </c>
      <c r="I349" s="31" t="n">
        <v>1</v>
      </c>
      <c r="J349" s="31" t="n">
        <v>2600</v>
      </c>
      <c r="K349" s="31" t="n">
        <v>482</v>
      </c>
      <c r="L349" s="31" t="n">
        <v>151</v>
      </c>
      <c r="M349" s="31" t="n">
        <v>181</v>
      </c>
      <c r="N349" s="31" t="n">
        <v>19.6</v>
      </c>
      <c r="O349" s="31" t="n">
        <v>400</v>
      </c>
      <c r="P349" s="31" t="inlineStr">
        <is>
          <t>橋田</t>
        </is>
      </c>
      <c r="Q349" s="31" t="inlineStr">
        <is>
          <t>7戦1勝</t>
        </is>
      </c>
      <c r="R349" s="31" t="n">
        <v>1</v>
      </c>
      <c r="S349" s="31" t="n">
        <v>0</v>
      </c>
      <c r="T349" s="31" t="n">
        <v>802</v>
      </c>
      <c r="U349" s="31" t="n">
        <v>0</v>
      </c>
      <c r="V349" s="31" t="n">
        <v>0.31</v>
      </c>
      <c r="W349" s="31" t="n">
        <v>0</v>
      </c>
      <c r="X349" s="31" t="inlineStr">
        <is>
          <t>24'2歳新馬--&gt;</t>
        </is>
      </c>
      <c r="Y349" s="31" t="n">
        <v>2</v>
      </c>
      <c r="Z349" s="31" t="inlineStr">
        <is>
          <t>価格帯・420kg+</t>
        </is>
      </c>
    </row>
    <row r="350">
      <c r="A350" s="31" t="n">
        <v>2023</v>
      </c>
      <c r="B350" s="31" t="n">
        <v>74</v>
      </c>
      <c r="C350" s="31" t="inlineStr">
        <is>
          <t>ブルーメンブラットの22</t>
        </is>
      </c>
      <c r="D350" s="31" t="inlineStr">
        <is>
          <t>リンゲルブルーメ (Ringelblume)</t>
        </is>
      </c>
      <c r="E350" s="31" t="inlineStr">
        <is>
          <t>ドレフォン</t>
        </is>
      </c>
      <c r="F350" s="31" t="inlineStr">
        <is>
          <t>メス</t>
        </is>
      </c>
      <c r="G350" s="31" t="n">
        <v>2</v>
      </c>
      <c r="H350" s="31" t="n">
        <v>19</v>
      </c>
      <c r="I350" s="31" t="n">
        <v>1</v>
      </c>
      <c r="J350" s="31" t="n">
        <v>4000</v>
      </c>
      <c r="K350" s="31" t="n">
        <v>476</v>
      </c>
      <c r="L350" s="31" t="n">
        <v>154.5</v>
      </c>
      <c r="M350" s="31" t="n">
        <v>179</v>
      </c>
      <c r="N350" s="31" t="n">
        <v>20.1</v>
      </c>
      <c r="O350" s="31" t="n">
        <v>400</v>
      </c>
      <c r="P350" s="31" t="inlineStr">
        <is>
          <t>佐藤悠</t>
        </is>
      </c>
      <c r="Q350" s="31" t="inlineStr">
        <is>
          <t>17戦1勝</t>
        </is>
      </c>
      <c r="R350" s="31" t="n">
        <v>1</v>
      </c>
      <c r="S350" s="31" t="n">
        <v>0</v>
      </c>
      <c r="T350" s="31" t="n">
        <v>1813</v>
      </c>
      <c r="U350" s="31" t="n">
        <v>0</v>
      </c>
      <c r="V350" s="31" t="n">
        <v>0.45</v>
      </c>
      <c r="W350" s="31" t="n">
        <v>0</v>
      </c>
      <c r="X350" s="31" t="inlineStr">
        <is>
          <t>25'3歳未勝利--&gt;</t>
        </is>
      </c>
      <c r="Y350" s="31" t="n">
        <v>1</v>
      </c>
      <c r="Z350" s="31" t="inlineStr">
        <is>
          <t>420kg+</t>
        </is>
      </c>
    </row>
    <row r="351">
      <c r="A351" s="31" t="n">
        <v>2023</v>
      </c>
      <c r="B351" s="31" t="n">
        <v>75</v>
      </c>
      <c r="C351" s="31" t="inlineStr">
        <is>
          <t>シンハリーズの22</t>
        </is>
      </c>
      <c r="D351" s="31" t="inlineStr">
        <is>
          <t>エンベッカ (Embekke)</t>
        </is>
      </c>
      <c r="E351" s="31" t="inlineStr">
        <is>
          <t>サトノダイヤモンド</t>
        </is>
      </c>
      <c r="F351" s="31" t="inlineStr">
        <is>
          <t>メス</t>
        </is>
      </c>
      <c r="G351" s="31" t="n">
        <v>4</v>
      </c>
      <c r="H351" s="31" t="n">
        <v>20</v>
      </c>
      <c r="I351" s="31" t="n">
        <v>1</v>
      </c>
      <c r="J351" s="31" t="n">
        <v>3000</v>
      </c>
      <c r="K351" s="31" t="n">
        <v>411</v>
      </c>
      <c r="L351" s="31" t="n">
        <v>154</v>
      </c>
      <c r="M351" s="31" t="n">
        <v>170.5</v>
      </c>
      <c r="N351" s="31" t="n">
        <v>19.5</v>
      </c>
      <c r="O351" s="31" t="n">
        <v>400</v>
      </c>
      <c r="P351" s="31" t="inlineStr">
        <is>
          <t>柴田</t>
        </is>
      </c>
      <c r="Q351" s="31" t="inlineStr">
        <is>
          <t>7戦1勝</t>
        </is>
      </c>
      <c r="R351" s="31" t="n">
        <v>1</v>
      </c>
      <c r="S351" s="31" t="n">
        <v>0</v>
      </c>
      <c r="T351" s="31" t="n">
        <v>836</v>
      </c>
      <c r="U351" s="31" t="n">
        <v>0</v>
      </c>
      <c r="V351" s="31" t="n">
        <v>0.28</v>
      </c>
      <c r="W351" s="31" t="n">
        <v>0</v>
      </c>
      <c r="X351" s="31" t="inlineStr">
        <is>
          <t>25'3歳未勝利--&gt;</t>
        </is>
      </c>
      <c r="Y351" s="31" t="n">
        <v>1</v>
      </c>
      <c r="Z351" s="31" t="inlineStr">
        <is>
          <t>価格帯</t>
        </is>
      </c>
    </row>
    <row r="352">
      <c r="A352" s="31" t="n">
        <v>2023</v>
      </c>
      <c r="B352" s="31" t="n">
        <v>76</v>
      </c>
      <c r="C352" s="31" t="inlineStr">
        <is>
          <t>レネットグルーヴの22</t>
        </is>
      </c>
      <c r="D352" s="31" t="inlineStr">
        <is>
          <t>タンテドヴィーヴル (Tenter de Vivre)</t>
        </is>
      </c>
      <c r="E352" s="31" t="inlineStr">
        <is>
          <t>ルヴァンスレーヴ</t>
        </is>
      </c>
      <c r="F352" s="31" t="inlineStr">
        <is>
          <t>牡</t>
        </is>
      </c>
      <c r="G352" s="31" t="n">
        <v>2</v>
      </c>
      <c r="H352" s="31" t="n">
        <v>12</v>
      </c>
      <c r="I352" s="31" t="n">
        <v>1</v>
      </c>
      <c r="J352" s="31" t="n">
        <v>5000</v>
      </c>
      <c r="K352" s="31" t="n">
        <v>482</v>
      </c>
      <c r="L352" s="31" t="n">
        <v>155</v>
      </c>
      <c r="M352" s="31" t="n">
        <v>182.5</v>
      </c>
      <c r="N352" s="31" t="n">
        <v>21.1</v>
      </c>
      <c r="O352" s="31" t="n">
        <v>400</v>
      </c>
      <c r="P352" s="31" t="inlineStr">
        <is>
          <t>斉藤崇</t>
        </is>
      </c>
      <c r="Q352" s="31" t="inlineStr">
        <is>
          <t>12戦2勝</t>
        </is>
      </c>
      <c r="R352" s="31" t="n">
        <v>2</v>
      </c>
      <c r="S352" s="31" t="n">
        <v>0</v>
      </c>
      <c r="T352" s="31" t="n">
        <v>2965</v>
      </c>
      <c r="U352" s="31" t="n">
        <v>0</v>
      </c>
      <c r="V352" s="31" t="n">
        <v>0.59</v>
      </c>
      <c r="W352" s="31" t="n">
        <v>0</v>
      </c>
      <c r="X352" s="31" t="inlineStr">
        <is>
          <t>26'4歳以上1勝クラス26'4歳以上1勝クラス--&gt;</t>
        </is>
      </c>
      <c r="Y352" s="31" t="n">
        <v>2</v>
      </c>
      <c r="Z352" s="31" t="inlineStr">
        <is>
          <t>牡・420kg+</t>
        </is>
      </c>
    </row>
    <row r="353">
      <c r="A353" s="31" t="n">
        <v>2023</v>
      </c>
      <c r="B353" s="31" t="n">
        <v>77</v>
      </c>
      <c r="C353" s="31" t="inlineStr">
        <is>
          <t>スターダムバウンドの22</t>
        </is>
      </c>
      <c r="D353" s="31" t="inlineStr">
        <is>
          <t>ペンダンティフ (Pendentif)</t>
        </is>
      </c>
      <c r="E353" s="31" t="inlineStr">
        <is>
          <t>オルフェーヴル</t>
        </is>
      </c>
      <c r="F353" s="31" t="inlineStr">
        <is>
          <t>メス</t>
        </is>
      </c>
      <c r="G353" s="31" t="n">
        <v>2</v>
      </c>
      <c r="H353" s="31" t="n">
        <v>16</v>
      </c>
      <c r="I353" s="31" t="n">
        <v>1</v>
      </c>
      <c r="J353" s="31" t="n">
        <v>3200</v>
      </c>
      <c r="K353" s="31" t="n">
        <v>421</v>
      </c>
      <c r="L353" s="31" t="n">
        <v>151</v>
      </c>
      <c r="M353" s="31" t="n">
        <v>174</v>
      </c>
      <c r="N353" s="31" t="n">
        <v>18.7</v>
      </c>
      <c r="O353" s="31" t="n">
        <v>400</v>
      </c>
      <c r="P353" s="31" t="inlineStr">
        <is>
          <t>茶木</t>
        </is>
      </c>
      <c r="Q353" s="31" t="inlineStr">
        <is>
          <t>4戦0勝</t>
        </is>
      </c>
      <c r="R353" s="31" t="n">
        <v>0</v>
      </c>
      <c r="S353" s="31" t="n">
        <v>0</v>
      </c>
      <c r="T353" s="31" t="n">
        <v>128</v>
      </c>
      <c r="U353" s="31" t="n">
        <v>0</v>
      </c>
      <c r="V353" s="31" t="n">
        <v>0.04</v>
      </c>
      <c r="W353" s="31" t="n">
        <v>0</v>
      </c>
      <c r="X353" s="31" t="inlineStr">
        <is>
          <t>--&gt;</t>
        </is>
      </c>
      <c r="Y353" s="31" t="n">
        <v>2</v>
      </c>
      <c r="Z353" s="31" t="inlineStr">
        <is>
          <t>価格帯・420kg+</t>
        </is>
      </c>
    </row>
    <row r="354">
      <c r="A354" s="31" t="n">
        <v>2023</v>
      </c>
      <c r="B354" s="31" t="n">
        <v>78</v>
      </c>
      <c r="C354" s="31" t="inlineStr">
        <is>
          <t>リプリートⅡの22</t>
        </is>
      </c>
      <c r="D354" s="31" t="inlineStr">
        <is>
          <t>マーシフルルーラー (Merciful Ruler)</t>
        </is>
      </c>
      <c r="E354" s="31" t="inlineStr">
        <is>
          <t>ルーラーシップ</t>
        </is>
      </c>
      <c r="F354" s="31" t="inlineStr">
        <is>
          <t>牡</t>
        </is>
      </c>
      <c r="G354" s="31" t="n">
        <v>2</v>
      </c>
      <c r="H354" s="31" t="n">
        <v>9</v>
      </c>
      <c r="I354" s="31" t="n">
        <v>1</v>
      </c>
      <c r="J354" s="31" t="n">
        <v>3600</v>
      </c>
      <c r="K354" s="31" t="n">
        <v>475</v>
      </c>
      <c r="L354" s="31" t="n">
        <v>155</v>
      </c>
      <c r="M354" s="31" t="n">
        <v>183</v>
      </c>
      <c r="N354" s="31" t="n">
        <v>20.8</v>
      </c>
      <c r="O354" s="31" t="n">
        <v>400</v>
      </c>
      <c r="P354" s="31" t="inlineStr">
        <is>
          <t>池江</t>
        </is>
      </c>
      <c r="Q354" s="31" t="inlineStr">
        <is>
          <t>3戦0勝</t>
        </is>
      </c>
      <c r="R354" s="31" t="n">
        <v>0</v>
      </c>
      <c r="S354" s="31" t="n">
        <v>0</v>
      </c>
      <c r="T354" s="31" t="n">
        <v>0</v>
      </c>
      <c r="U354" s="31" t="n">
        <v>0</v>
      </c>
      <c r="V354" s="31" t="n">
        <v>0</v>
      </c>
      <c r="W354" s="31" t="n">
        <v>0</v>
      </c>
      <c r="X354" s="31" t="inlineStr">
        <is>
          <t>--&gt;</t>
        </is>
      </c>
      <c r="Y354" s="31" t="n">
        <v>3</v>
      </c>
      <c r="Z354" s="31" t="inlineStr">
        <is>
          <t>牡・価格帯・420kg+</t>
        </is>
      </c>
    </row>
    <row r="355">
      <c r="A355" s="31" t="n">
        <v>2023</v>
      </c>
      <c r="B355" s="31" t="n">
        <v>79</v>
      </c>
      <c r="C355" s="31" t="inlineStr">
        <is>
          <t>ギーニョの22</t>
        </is>
      </c>
      <c r="D355" s="31" t="inlineStr">
        <is>
          <t>ソルナシエンテ (Sol Naciente)</t>
        </is>
      </c>
      <c r="E355" s="31" t="inlineStr">
        <is>
          <t>ニューイヤーズデイ</t>
        </is>
      </c>
      <c r="F355" s="31" t="inlineStr">
        <is>
          <t>牡</t>
        </is>
      </c>
      <c r="G355" s="31" t="n">
        <v>4</v>
      </c>
      <c r="H355" s="31" t="n">
        <v>19</v>
      </c>
      <c r="I355" s="31" t="n">
        <v>1</v>
      </c>
      <c r="J355" s="31" t="n">
        <v>3000</v>
      </c>
      <c r="K355" s="31" t="n">
        <v>438</v>
      </c>
      <c r="L355" s="31" t="n">
        <v>154</v>
      </c>
      <c r="M355" s="31" t="n">
        <v>172.5</v>
      </c>
      <c r="N355" s="31" t="n">
        <v>21.5</v>
      </c>
      <c r="O355" s="31" t="n">
        <v>400</v>
      </c>
      <c r="P355" s="31" t="inlineStr">
        <is>
          <t>藤岡</t>
        </is>
      </c>
      <c r="Q355" s="31" t="inlineStr">
        <is>
          <t>12戦2勝</t>
        </is>
      </c>
      <c r="R355" s="31" t="n">
        <v>1</v>
      </c>
      <c r="S355" s="31" t="n">
        <v>1</v>
      </c>
      <c r="T355" s="31" t="n">
        <v>820</v>
      </c>
      <c r="U355" s="31" t="n">
        <v>98</v>
      </c>
      <c r="V355" s="31" t="n">
        <v>0.31</v>
      </c>
      <c r="W355" s="31" t="n">
        <v>0</v>
      </c>
      <c r="X355" s="31" t="inlineStr">
        <is>
          <t>25'3歳新馬幸せの日賞--&gt;</t>
        </is>
      </c>
      <c r="Y355" s="31" t="n">
        <v>3</v>
      </c>
      <c r="Z355" s="31" t="inlineStr">
        <is>
          <t>牡・価格帯・420kg+</t>
        </is>
      </c>
    </row>
    <row r="356">
      <c r="A356" s="31" t="n">
        <v>2023</v>
      </c>
      <c r="B356" s="31" t="n">
        <v>80</v>
      </c>
      <c r="C356" s="31" t="inlineStr">
        <is>
          <t>グランデアモーレの22</t>
        </is>
      </c>
      <c r="D356" s="31" t="inlineStr">
        <is>
          <t>ネーヴェフレスカ (Neve Fresca)</t>
        </is>
      </c>
      <c r="E356" s="31" t="inlineStr">
        <is>
          <t>ニューイヤーズデイ</t>
        </is>
      </c>
      <c r="F356" s="31" t="inlineStr">
        <is>
          <t>メス</t>
        </is>
      </c>
      <c r="G356" s="31" t="n">
        <v>4</v>
      </c>
      <c r="H356" s="31" t="n">
        <v>12</v>
      </c>
      <c r="I356" s="31" t="n">
        <v>1</v>
      </c>
      <c r="J356" s="31" t="n">
        <v>2400</v>
      </c>
      <c r="K356" s="31" t="n">
        <v>444</v>
      </c>
      <c r="L356" s="31" t="n">
        <v>154</v>
      </c>
      <c r="M356" s="31" t="n">
        <v>178.5</v>
      </c>
      <c r="N356" s="31" t="n">
        <v>19.1</v>
      </c>
      <c r="O356" s="31" t="n">
        <v>400</v>
      </c>
      <c r="P356" s="31" t="inlineStr">
        <is>
          <t>石坂</t>
        </is>
      </c>
      <c r="Q356" s="31" t="inlineStr">
        <is>
          <t>15戦3勝</t>
        </is>
      </c>
      <c r="R356" s="31" t="n">
        <v>3</v>
      </c>
      <c r="S356" s="31" t="n">
        <v>0</v>
      </c>
      <c r="T356" s="31" t="n">
        <v>4826</v>
      </c>
      <c r="U356" s="31" t="n">
        <v>0</v>
      </c>
      <c r="V356" s="31" t="n">
        <v>2.01</v>
      </c>
      <c r="W356" s="31" t="n">
        <v>0</v>
      </c>
      <c r="X356" s="31" t="inlineStr">
        <is>
          <t>25'甲東特別(2勝クラス)25'3歳1勝クラス--&gt;</t>
        </is>
      </c>
      <c r="Y356" s="31" t="n">
        <v>1</v>
      </c>
      <c r="Z356" s="31" t="inlineStr">
        <is>
          <t>420kg+</t>
        </is>
      </c>
    </row>
    <row r="357">
      <c r="A357" s="31" t="n">
        <v>2023</v>
      </c>
      <c r="B357" s="31" t="n">
        <v>81</v>
      </c>
      <c r="C357" s="31" t="inlineStr">
        <is>
          <t>レディドーヴィルの22</t>
        </is>
      </c>
      <c r="D357" s="31" t="inlineStr">
        <is>
          <t>トロワヴァレー (Trois Vallees)</t>
        </is>
      </c>
      <c r="E357" s="31" t="inlineStr">
        <is>
          <t>アルアイン</t>
        </is>
      </c>
      <c r="F357" s="31" t="inlineStr">
        <is>
          <t>牡</t>
        </is>
      </c>
      <c r="G357" s="31" t="n">
        <v>3</v>
      </c>
      <c r="H357" s="31" t="n">
        <v>17</v>
      </c>
      <c r="I357" s="31" t="n">
        <v>1</v>
      </c>
      <c r="J357" s="31" t="n">
        <v>2400</v>
      </c>
      <c r="K357" s="31" t="n">
        <v>450</v>
      </c>
      <c r="L357" s="31" t="n">
        <v>154</v>
      </c>
      <c r="M357" s="31" t="n">
        <v>170.5</v>
      </c>
      <c r="N357" s="31" t="n">
        <v>20.3</v>
      </c>
      <c r="O357" s="31" t="n">
        <v>400</v>
      </c>
      <c r="P357" s="31" t="inlineStr">
        <is>
          <t>吉岡</t>
        </is>
      </c>
      <c r="Q357" s="31" t="inlineStr">
        <is>
          <t>20戦0勝</t>
        </is>
      </c>
      <c r="R357" s="31" t="n">
        <v>0</v>
      </c>
      <c r="S357" s="31" t="n">
        <v>0</v>
      </c>
      <c r="T357" s="31" t="n">
        <v>430</v>
      </c>
      <c r="U357" s="31" t="n">
        <v>65</v>
      </c>
      <c r="V357" s="31" t="n">
        <v>0.21</v>
      </c>
      <c r="W357" s="31" t="n">
        <v>0</v>
      </c>
      <c r="X357" s="31" t="inlineStr">
        <is>
          <t>--&gt;</t>
        </is>
      </c>
      <c r="Y357" s="31" t="n">
        <v>2</v>
      </c>
      <c r="Z357" s="31" t="inlineStr">
        <is>
          <t>牡・420kg+</t>
        </is>
      </c>
    </row>
    <row r="358">
      <c r="A358" s="31" t="n">
        <v>2023</v>
      </c>
      <c r="B358" s="31" t="n">
        <v>82</v>
      </c>
      <c r="C358" s="31" t="inlineStr">
        <is>
          <t>スプリングゲイルの22</t>
        </is>
      </c>
      <c r="D358" s="31" t="inlineStr">
        <is>
          <t>セイルロケット (Sailrocket)</t>
        </is>
      </c>
      <c r="E358" s="31" t="inlineStr">
        <is>
          <t>スワーヴリチャード</t>
        </is>
      </c>
      <c r="F358" s="31" t="inlineStr">
        <is>
          <t>牡</t>
        </is>
      </c>
      <c r="G358" s="31" t="n">
        <v>5</v>
      </c>
      <c r="H358" s="31" t="n">
        <v>8</v>
      </c>
      <c r="I358" s="31" t="n">
        <v>1</v>
      </c>
      <c r="J358" s="31" t="n">
        <v>2400</v>
      </c>
      <c r="K358" s="31" t="n">
        <v>404</v>
      </c>
      <c r="L358" s="31" t="n">
        <v>149</v>
      </c>
      <c r="M358" s="31" t="n">
        <v>168.5</v>
      </c>
      <c r="N358" s="31" t="n">
        <v>20.1</v>
      </c>
      <c r="O358" s="31" t="n">
        <v>400</v>
      </c>
      <c r="P358" s="31" t="inlineStr">
        <is>
          <t>橋口</t>
        </is>
      </c>
      <c r="Q358" s="31" t="inlineStr">
        <is>
          <t>16戦2勝</t>
        </is>
      </c>
      <c r="R358" s="31" t="n">
        <v>0</v>
      </c>
      <c r="S358" s="31" t="n">
        <v>2</v>
      </c>
      <c r="T358" s="31" t="n">
        <v>360</v>
      </c>
      <c r="U358" s="31" t="n">
        <v>95</v>
      </c>
      <c r="V358" s="31" t="n">
        <v>0.19</v>
      </c>
      <c r="W358" s="31" t="n">
        <v>0</v>
      </c>
      <c r="X358" s="31" t="inlineStr">
        <is>
          <t>3歳以上C3ー2C4ー1グランシャリオドリーム71--&gt;</t>
        </is>
      </c>
      <c r="Y358" s="31" t="n">
        <v>1</v>
      </c>
      <c r="Z358" s="31" t="inlineStr">
        <is>
          <t>牡</t>
        </is>
      </c>
    </row>
    <row r="359">
      <c r="A359" s="31" t="n">
        <v>2023</v>
      </c>
      <c r="B359" s="31" t="n">
        <v>83</v>
      </c>
      <c r="C359" s="31" t="inlineStr">
        <is>
          <t>ハーエミネンシーの22</t>
        </is>
      </c>
      <c r="D359" s="31" t="inlineStr">
        <is>
          <t>バーミーズルビー (Burmese Ruby)</t>
        </is>
      </c>
      <c r="E359" s="31" t="inlineStr">
        <is>
          <t>ブリックスアンドモルタル</t>
        </is>
      </c>
      <c r="F359" s="31" t="inlineStr">
        <is>
          <t>メス</t>
        </is>
      </c>
      <c r="G359" s="31" t="n">
        <v>4</v>
      </c>
      <c r="H359" s="31" t="n">
        <v>10</v>
      </c>
      <c r="I359" s="31" t="n">
        <v>1</v>
      </c>
      <c r="J359" s="31" t="n">
        <v>2800</v>
      </c>
      <c r="K359" s="31" t="n">
        <v>436</v>
      </c>
      <c r="L359" s="31" t="n">
        <v>152</v>
      </c>
      <c r="M359" s="31" t="n">
        <v>175</v>
      </c>
      <c r="N359" s="31" t="n">
        <v>19.3</v>
      </c>
      <c r="O359" s="31" t="n">
        <v>400</v>
      </c>
      <c r="P359" s="31" t="inlineStr">
        <is>
          <t>小林</t>
        </is>
      </c>
      <c r="Q359" s="31" t="inlineStr">
        <is>
          <t>23戦1勝</t>
        </is>
      </c>
      <c r="R359" s="31" t="n">
        <v>0</v>
      </c>
      <c r="S359" s="31" t="n">
        <v>1</v>
      </c>
      <c r="T359" s="31" t="n">
        <v>220</v>
      </c>
      <c r="U359" s="31" t="n">
        <v>150</v>
      </c>
      <c r="V359" s="31" t="n">
        <v>0.13</v>
      </c>
      <c r="W359" s="31" t="n">
        <v>0</v>
      </c>
      <c r="X359" s="31" t="inlineStr">
        <is>
          <t>トム・アンド・ジェリー賞--&gt;</t>
        </is>
      </c>
      <c r="Y359" s="31" t="n">
        <v>2</v>
      </c>
      <c r="Z359" s="31" t="inlineStr">
        <is>
          <t>価格帯・420kg+</t>
        </is>
      </c>
    </row>
    <row r="360">
      <c r="A360" s="31" t="n">
        <v>2023</v>
      </c>
      <c r="B360" s="31" t="n">
        <v>84</v>
      </c>
      <c r="C360" s="31" t="inlineStr">
        <is>
          <t>リチュアルローズの22</t>
        </is>
      </c>
      <c r="D360" s="31" t="inlineStr">
        <is>
          <t>アートレスマインド (Artless Mind)</t>
        </is>
      </c>
      <c r="E360" s="31" t="inlineStr">
        <is>
          <t>マインドユアビスケッツ</t>
        </is>
      </c>
      <c r="F360" s="31" t="inlineStr">
        <is>
          <t>牡</t>
        </is>
      </c>
      <c r="G360" s="31" t="n">
        <v>3</v>
      </c>
      <c r="H360" s="31" t="n">
        <v>9</v>
      </c>
      <c r="I360" s="31" t="n">
        <v>1</v>
      </c>
      <c r="J360" s="31" t="n">
        <v>2600</v>
      </c>
      <c r="K360" s="31" t="n">
        <v>448</v>
      </c>
      <c r="L360" s="31" t="n">
        <v>154</v>
      </c>
      <c r="M360" s="31" t="n">
        <v>173</v>
      </c>
      <c r="N360" s="31" t="n">
        <v>20.4</v>
      </c>
      <c r="O360" s="31" t="n">
        <v>400</v>
      </c>
      <c r="P360" s="31" t="inlineStr">
        <is>
          <t>坂口</t>
        </is>
      </c>
      <c r="Q360" s="31" t="inlineStr">
        <is>
          <t>14戦2勝</t>
        </is>
      </c>
      <c r="R360" s="31" t="n">
        <v>2</v>
      </c>
      <c r="S360" s="31" t="n">
        <v>0</v>
      </c>
      <c r="T360" s="31" t="n">
        <v>3269</v>
      </c>
      <c r="U360" s="31" t="n">
        <v>0</v>
      </c>
      <c r="V360" s="31" t="n">
        <v>1.26</v>
      </c>
      <c r="W360" s="31" t="n">
        <v>0</v>
      </c>
      <c r="X360" s="31" t="inlineStr">
        <is>
          <t>25'3歳以上1勝クラス25'3歳未勝利--&gt;</t>
        </is>
      </c>
      <c r="Y360" s="31" t="n">
        <v>3</v>
      </c>
      <c r="Z360" s="31" t="inlineStr">
        <is>
          <t>牡・価格帯・420kg+</t>
        </is>
      </c>
    </row>
    <row r="361">
      <c r="A361" s="31" t="n">
        <v>2023</v>
      </c>
      <c r="B361" s="31" t="n">
        <v>85</v>
      </c>
      <c r="C361" s="31" t="inlineStr">
        <is>
          <t>ブルーメンクローネの22</t>
        </is>
      </c>
      <c r="D361" s="31" t="inlineStr">
        <is>
          <t>ヴァイスクレー (Weissklee)</t>
        </is>
      </c>
      <c r="E361" s="31" t="inlineStr">
        <is>
          <t>ミッキーアイル</t>
        </is>
      </c>
      <c r="F361" s="31" t="inlineStr">
        <is>
          <t>メス</t>
        </is>
      </c>
      <c r="G361" s="31" t="n">
        <v>2</v>
      </c>
      <c r="H361" s="31" t="n">
        <v>7</v>
      </c>
      <c r="I361" s="31" t="n">
        <v>1</v>
      </c>
      <c r="J361" s="31" t="n">
        <v>2800</v>
      </c>
      <c r="K361" s="31" t="n">
        <v>441</v>
      </c>
      <c r="L361" s="31" t="n">
        <v>150.5</v>
      </c>
      <c r="M361" s="31" t="n">
        <v>173.5</v>
      </c>
      <c r="N361" s="31" t="n">
        <v>19.2</v>
      </c>
      <c r="O361" s="31" t="n">
        <v>400</v>
      </c>
      <c r="P361" s="31" t="inlineStr">
        <is>
          <t>奥村豊</t>
        </is>
      </c>
      <c r="Q361" s="31" t="inlineStr">
        <is>
          <t>19戦3勝</t>
        </is>
      </c>
      <c r="R361" s="31" t="n">
        <v>0</v>
      </c>
      <c r="S361" s="31" t="n">
        <v>3</v>
      </c>
      <c r="T361" s="31" t="n">
        <v>524</v>
      </c>
      <c r="U361" s="31" t="n">
        <v>349</v>
      </c>
      <c r="V361" s="31" t="n">
        <v>0.31</v>
      </c>
      <c r="W361" s="31" t="n">
        <v>0</v>
      </c>
      <c r="X361" s="31" t="inlineStr">
        <is>
          <t>C2二C2一--&gt;</t>
        </is>
      </c>
      <c r="Y361" s="31" t="n">
        <v>2</v>
      </c>
      <c r="Z361" s="31" t="inlineStr">
        <is>
          <t>価格帯・420kg+</t>
        </is>
      </c>
    </row>
    <row r="362">
      <c r="A362" s="31" t="n">
        <v>2023</v>
      </c>
      <c r="B362" s="31" t="n">
        <v>86</v>
      </c>
      <c r="C362" s="31" t="inlineStr">
        <is>
          <t>ソブラドラインクの22</t>
        </is>
      </c>
      <c r="D362" s="31" t="inlineStr">
        <is>
          <t>カナルビーグル (Canal Beagle)</t>
        </is>
      </c>
      <c r="E362" s="31" t="inlineStr">
        <is>
          <t>リアルスティール</t>
        </is>
      </c>
      <c r="F362" s="31" t="inlineStr">
        <is>
          <t>牡</t>
        </is>
      </c>
      <c r="G362" s="31" t="n">
        <v>2</v>
      </c>
      <c r="H362" s="31" t="n">
        <v>10</v>
      </c>
      <c r="I362" s="31" t="n">
        <v>1</v>
      </c>
      <c r="J362" s="31" t="n">
        <v>3600</v>
      </c>
      <c r="K362" s="31" t="n">
        <v>453</v>
      </c>
      <c r="L362" s="31" t="n">
        <v>156</v>
      </c>
      <c r="M362" s="31" t="n">
        <v>175</v>
      </c>
      <c r="N362" s="31" t="n">
        <v>20</v>
      </c>
      <c r="O362" s="31" t="n">
        <v>400</v>
      </c>
      <c r="P362" s="31" t="inlineStr">
        <is>
          <t>佐藤悠</t>
        </is>
      </c>
      <c r="Q362" s="31" t="inlineStr">
        <is>
          <t>7戦3勝</t>
        </is>
      </c>
      <c r="R362" s="31" t="n">
        <v>3</v>
      </c>
      <c r="S362" s="31" t="n">
        <v>0</v>
      </c>
      <c r="T362" s="31" t="n">
        <v>5398</v>
      </c>
      <c r="U362" s="31" t="n">
        <v>500</v>
      </c>
      <c r="V362" s="31" t="n">
        <v>1.64</v>
      </c>
      <c r="W362" s="31" t="n">
        <v>1</v>
      </c>
      <c r="X362" s="31" t="inlineStr">
        <is>
          <t>25'ユニコーンS(G3)25'3歳1勝クラス--&gt;</t>
        </is>
      </c>
      <c r="Y362" s="31" t="n">
        <v>3</v>
      </c>
      <c r="Z362" s="31" t="inlineStr">
        <is>
          <t>牡・価格帯・420kg+</t>
        </is>
      </c>
    </row>
    <row r="363">
      <c r="A363" s="31" t="n">
        <v>2023</v>
      </c>
      <c r="B363" s="31" t="n">
        <v>87</v>
      </c>
      <c r="C363" s="31" t="inlineStr">
        <is>
          <t>ヴィートマルシェの22</t>
        </is>
      </c>
      <c r="D363" s="31" t="inlineStr">
        <is>
          <t>フィドルファドル (Fiddle Faddle)</t>
        </is>
      </c>
      <c r="E363" s="31" t="inlineStr">
        <is>
          <t>サトノアラジン</t>
        </is>
      </c>
      <c r="F363" s="31" t="inlineStr">
        <is>
          <t>メス</t>
        </is>
      </c>
      <c r="G363" s="31" t="n">
        <v>3</v>
      </c>
      <c r="H363" s="31" t="n">
        <v>20</v>
      </c>
      <c r="I363" s="31" t="n">
        <v>1</v>
      </c>
      <c r="J363" s="31" t="n">
        <v>3000</v>
      </c>
      <c r="K363" s="31" t="n">
        <v>450</v>
      </c>
      <c r="L363" s="31" t="n">
        <v>154</v>
      </c>
      <c r="M363" s="31" t="n">
        <v>179.5</v>
      </c>
      <c r="N363" s="31" t="n">
        <v>20.2</v>
      </c>
      <c r="O363" s="31" t="n">
        <v>400</v>
      </c>
      <c r="P363" s="31" t="inlineStr">
        <is>
          <t>矢作</t>
        </is>
      </c>
      <c r="Q363" s="31" t="inlineStr">
        <is>
          <t>20戦2勝</t>
        </is>
      </c>
      <c r="R363" s="31" t="n">
        <v>2</v>
      </c>
      <c r="S363" s="31" t="n">
        <v>0</v>
      </c>
      <c r="T363" s="31" t="n">
        <v>4306</v>
      </c>
      <c r="U363" s="31" t="n">
        <v>0</v>
      </c>
      <c r="V363" s="31" t="n">
        <v>1.44</v>
      </c>
      <c r="W363" s="31" t="n">
        <v>0</v>
      </c>
      <c r="X363" s="31" t="inlineStr">
        <is>
          <t>25'3歳以上1勝クラス24'2歳未勝利--&gt;</t>
        </is>
      </c>
      <c r="Y363" s="31" t="n">
        <v>2</v>
      </c>
      <c r="Z363" s="31" t="inlineStr">
        <is>
          <t>価格帯・420kg+</t>
        </is>
      </c>
    </row>
    <row r="364">
      <c r="A364" s="31" t="n">
        <v>2023</v>
      </c>
      <c r="B364" s="31" t="n">
        <v>88</v>
      </c>
      <c r="C364" s="31" t="inlineStr">
        <is>
          <t>ペルレンケッテの22</t>
        </is>
      </c>
      <c r="D364" s="31" t="inlineStr">
        <is>
          <t>バイルシュタイン (Beilstein)</t>
        </is>
      </c>
      <c r="E364" s="31" t="inlineStr">
        <is>
          <t>ダンカーク</t>
        </is>
      </c>
      <c r="F364" s="31" t="inlineStr">
        <is>
          <t>牡</t>
        </is>
      </c>
      <c r="G364" s="31" t="n">
        <v>4</v>
      </c>
      <c r="H364" s="31" t="n">
        <v>14</v>
      </c>
      <c r="I364" s="31" t="n">
        <v>1</v>
      </c>
      <c r="J364" s="31" t="n">
        <v>3000</v>
      </c>
      <c r="K364" s="31" t="n">
        <v>416</v>
      </c>
      <c r="L364" s="31" t="n">
        <v>151</v>
      </c>
      <c r="M364" s="31" t="n">
        <v>172.5</v>
      </c>
      <c r="N364" s="31" t="n">
        <v>20.3</v>
      </c>
      <c r="O364" s="31" t="n">
        <v>400</v>
      </c>
      <c r="P364" s="31" t="inlineStr">
        <is>
          <t>森澤</t>
        </is>
      </c>
      <c r="Q364" s="31" t="inlineStr">
        <is>
          <t>14戦6勝</t>
        </is>
      </c>
      <c r="R364" s="31" t="n">
        <v>0</v>
      </c>
      <c r="S364" s="31" t="n">
        <v>6</v>
      </c>
      <c r="T364" s="31" t="n">
        <v>304</v>
      </c>
      <c r="U364" s="31" t="n">
        <v>413</v>
      </c>
      <c r="V364" s="31" t="n">
        <v>0.24</v>
      </c>
      <c r="W364" s="31" t="n">
        <v>0</v>
      </c>
      <c r="X364" s="31" t="inlineStr">
        <is>
          <t>AIパッカル賞C1ー13組--&gt;</t>
        </is>
      </c>
      <c r="Y364" s="31" t="n">
        <v>2</v>
      </c>
      <c r="Z364" s="31" t="inlineStr">
        <is>
          <t>牡・価格帯</t>
        </is>
      </c>
    </row>
    <row r="365">
      <c r="A365" s="31" t="n">
        <v>2023</v>
      </c>
      <c r="B365" s="31" t="n">
        <v>89</v>
      </c>
      <c r="C365" s="31" t="inlineStr">
        <is>
          <t>パドゥヴァルスの22</t>
        </is>
      </c>
      <c r="D365" s="31" t="inlineStr">
        <is>
          <t>アロンディ (Arrondi)</t>
        </is>
      </c>
      <c r="E365" s="31" t="inlineStr">
        <is>
          <t>ハービンジャー</t>
        </is>
      </c>
      <c r="F365" s="31" t="inlineStr">
        <is>
          <t>牡</t>
        </is>
      </c>
      <c r="G365" s="31" t="n">
        <v>2</v>
      </c>
      <c r="H365" s="31" t="n">
        <v>5</v>
      </c>
      <c r="I365" s="31" t="n">
        <v>1</v>
      </c>
      <c r="J365" s="31" t="n">
        <v>3600</v>
      </c>
      <c r="K365" s="31" t="n">
        <v>460</v>
      </c>
      <c r="L365" s="31" t="n">
        <v>153.5</v>
      </c>
      <c r="M365" s="31" t="n">
        <v>177</v>
      </c>
      <c r="N365" s="31" t="n">
        <v>20</v>
      </c>
      <c r="O365" s="31" t="n">
        <v>400</v>
      </c>
      <c r="P365" s="31" t="inlineStr">
        <is>
          <t>武英</t>
        </is>
      </c>
      <c r="Q365" s="31" t="inlineStr">
        <is>
          <t>15戦3勝</t>
        </is>
      </c>
      <c r="R365" s="31" t="n">
        <v>3</v>
      </c>
      <c r="S365" s="31" t="n">
        <v>0</v>
      </c>
      <c r="T365" s="31" t="n">
        <v>4449</v>
      </c>
      <c r="U365" s="31" t="n">
        <v>0</v>
      </c>
      <c r="V365" s="31" t="n">
        <v>1.24</v>
      </c>
      <c r="W365" s="31" t="n">
        <v>0</v>
      </c>
      <c r="X365" s="31" t="inlineStr">
        <is>
          <t>26'琵琶湖特別(2勝クラス)25'3歳以上1勝クラス--&gt;</t>
        </is>
      </c>
      <c r="Y365" s="31" t="n">
        <v>3</v>
      </c>
      <c r="Z365" s="31" t="inlineStr">
        <is>
          <t>牡・価格帯・420kg+</t>
        </is>
      </c>
    </row>
    <row r="366">
      <c r="A366" s="31" t="n">
        <v>2023</v>
      </c>
      <c r="B366" s="31" t="n">
        <v>90</v>
      </c>
      <c r="C366" s="31" t="inlineStr">
        <is>
          <t>ビットレートの22</t>
        </is>
      </c>
      <c r="D366" s="31" t="inlineStr">
        <is>
          <t>トータルクラリティ (Total Clarity)</t>
        </is>
      </c>
      <c r="E366" s="31" t="inlineStr">
        <is>
          <t>バゴ</t>
        </is>
      </c>
      <c r="F366" s="31" t="inlineStr">
        <is>
          <t>メス</t>
        </is>
      </c>
      <c r="G366" s="31" t="n">
        <v>1</v>
      </c>
      <c r="H366" s="31" t="n">
        <v>10</v>
      </c>
      <c r="I366" s="31" t="n">
        <v>1</v>
      </c>
      <c r="J366" s="31" t="n">
        <v>3000</v>
      </c>
      <c r="K366" s="31" t="n">
        <v>436</v>
      </c>
      <c r="L366" s="31" t="n">
        <v>155</v>
      </c>
      <c r="M366" s="31" t="n">
        <v>174</v>
      </c>
      <c r="N366" s="31" t="n">
        <v>21</v>
      </c>
      <c r="O366" s="31" t="n">
        <v>400</v>
      </c>
      <c r="P366" s="31" t="inlineStr">
        <is>
          <t>池添</t>
        </is>
      </c>
      <c r="Q366" s="31" t="inlineStr">
        <is>
          <t>10戦2勝</t>
        </is>
      </c>
      <c r="R366" s="31" t="n">
        <v>2</v>
      </c>
      <c r="S366" s="31" t="n">
        <v>0</v>
      </c>
      <c r="T366" s="31" t="n">
        <v>3858</v>
      </c>
      <c r="U366" s="31" t="n">
        <v>0</v>
      </c>
      <c r="V366" s="31" t="n">
        <v>1.29</v>
      </c>
      <c r="W366" s="31" t="n">
        <v>1</v>
      </c>
      <c r="X366" s="31" t="inlineStr">
        <is>
          <t>24'新潟2歳S(G3)24'2歳新馬--&gt;</t>
        </is>
      </c>
      <c r="Y366" s="31" t="n">
        <v>2</v>
      </c>
      <c r="Z366" s="31" t="inlineStr">
        <is>
          <t>価格帯・420kg+</t>
        </is>
      </c>
    </row>
    <row r="367">
      <c r="A367" s="31" t="n">
        <v>2023</v>
      </c>
      <c r="B367" s="31" t="n">
        <v>91</v>
      </c>
      <c r="C367" s="31" t="inlineStr">
        <is>
          <t>インピードの22</t>
        </is>
      </c>
      <c r="D367" s="31" t="inlineStr">
        <is>
          <t>フランクスピード (Flank Speed)</t>
        </is>
      </c>
      <c r="E367" s="31" t="inlineStr">
        <is>
          <t>Frankel</t>
        </is>
      </c>
      <c r="F367" s="31" t="inlineStr">
        <is>
          <t>メス</t>
        </is>
      </c>
      <c r="G367" s="31" t="n">
        <v>1</v>
      </c>
      <c r="H367" s="31" t="n">
        <v>7</v>
      </c>
      <c r="I367" s="31" t="n">
        <v>1</v>
      </c>
      <c r="J367" s="31" t="n">
        <v>5000</v>
      </c>
      <c r="K367" s="31" t="n">
        <v>424</v>
      </c>
      <c r="L367" s="31" t="n">
        <v>152.5</v>
      </c>
      <c r="M367" s="31" t="n">
        <v>171.5</v>
      </c>
      <c r="N367" s="31" t="n">
        <v>19.7</v>
      </c>
      <c r="O367" s="31" t="n">
        <v>400</v>
      </c>
      <c r="P367" s="31" t="inlineStr">
        <is>
          <t>加藤公</t>
        </is>
      </c>
      <c r="Q367" s="31" t="inlineStr">
        <is>
          <t>8戦1勝</t>
        </is>
      </c>
      <c r="R367" s="31" t="n">
        <v>1</v>
      </c>
      <c r="S367" s="31" t="n">
        <v>0</v>
      </c>
      <c r="T367" s="31" t="n">
        <v>1040</v>
      </c>
      <c r="U367" s="31" t="n">
        <v>0</v>
      </c>
      <c r="V367" s="31" t="n">
        <v>0.21</v>
      </c>
      <c r="W367" s="31" t="n">
        <v>0</v>
      </c>
      <c r="X367" s="31" t="inlineStr">
        <is>
          <t>24'2歳新馬--&gt;</t>
        </is>
      </c>
      <c r="Y367" s="31" t="n">
        <v>1</v>
      </c>
      <c r="Z367" s="31" t="inlineStr">
        <is>
          <t>420kg+</t>
        </is>
      </c>
    </row>
    <row r="368">
      <c r="A368" s="31" t="n">
        <v>2023</v>
      </c>
      <c r="B368" s="31" t="n">
        <v>92</v>
      </c>
      <c r="C368" s="31" t="inlineStr">
        <is>
          <t>エルヴァスⅡの22</t>
        </is>
      </c>
      <c r="D368" s="31" t="inlineStr">
        <is>
          <t>ブルクトーア (Burgtor)</t>
        </is>
      </c>
      <c r="E368" s="31" t="inlineStr">
        <is>
          <t>Saxon Warrior</t>
        </is>
      </c>
      <c r="F368" s="31" t="inlineStr">
        <is>
          <t>牡</t>
        </is>
      </c>
      <c r="G368" s="31" t="n">
        <v>3</v>
      </c>
      <c r="H368" s="31" t="n">
        <v>6</v>
      </c>
      <c r="I368" s="31" t="n">
        <v>1</v>
      </c>
      <c r="J368" s="31" t="n">
        <v>4400</v>
      </c>
      <c r="K368" s="31" t="n">
        <v>441</v>
      </c>
      <c r="L368" s="31" t="n">
        <v>150</v>
      </c>
      <c r="M368" s="31" t="n">
        <v>173.5</v>
      </c>
      <c r="N368" s="31" t="n">
        <v>20.9</v>
      </c>
      <c r="O368" s="31" t="n">
        <v>400</v>
      </c>
      <c r="P368" s="31" t="inlineStr">
        <is>
          <t>長谷川</t>
        </is>
      </c>
      <c r="Q368" s="31" t="inlineStr">
        <is>
          <t>13戦3勝</t>
        </is>
      </c>
      <c r="R368" s="31" t="n">
        <v>3</v>
      </c>
      <c r="S368" s="31" t="n">
        <v>0</v>
      </c>
      <c r="T368" s="31" t="n">
        <v>3952</v>
      </c>
      <c r="U368" s="31" t="n">
        <v>0</v>
      </c>
      <c r="V368" s="31" t="n">
        <v>0.9</v>
      </c>
      <c r="W368" s="31" t="n">
        <v>0</v>
      </c>
      <c r="X368" s="31" t="inlineStr">
        <is>
          <t>26'4歳以上2勝クラス25'3歳以上1勝クラス--&gt;</t>
        </is>
      </c>
      <c r="Y368" s="31" t="n">
        <v>2</v>
      </c>
      <c r="Z368" s="31" t="inlineStr">
        <is>
          <t>牡・420kg+</t>
        </is>
      </c>
    </row>
    <row r="369">
      <c r="A369" s="31" t="n">
        <v>2023</v>
      </c>
      <c r="B369" s="31" t="n">
        <v>93</v>
      </c>
      <c r="C369" s="31" t="inlineStr">
        <is>
          <t>パーフェクトジョイの22</t>
        </is>
      </c>
      <c r="D369" s="31" t="inlineStr">
        <is>
          <t>ジョイフルロック (Joyful Rock)</t>
        </is>
      </c>
      <c r="E369" s="31" t="inlineStr">
        <is>
          <t>ミスターメロディ</t>
        </is>
      </c>
      <c r="F369" s="31" t="inlineStr">
        <is>
          <t>牡</t>
        </is>
      </c>
      <c r="G369" s="31" t="n">
        <v>3</v>
      </c>
      <c r="H369" s="31" t="n">
        <v>19</v>
      </c>
      <c r="I369" s="31" t="n">
        <v>1</v>
      </c>
      <c r="J369" s="31" t="n">
        <v>1800</v>
      </c>
      <c r="K369" s="31" t="n">
        <v>405</v>
      </c>
      <c r="L369" s="31" t="n">
        <v>149</v>
      </c>
      <c r="M369" s="31" t="n">
        <v>167.5</v>
      </c>
      <c r="N369" s="31" t="n">
        <v>20</v>
      </c>
      <c r="O369" s="31" t="n">
        <v>100</v>
      </c>
      <c r="P369" s="31" t="inlineStr">
        <is>
          <t>川島</t>
        </is>
      </c>
      <c r="Q369" s="31" t="inlineStr">
        <is>
          <t>16戦7勝</t>
        </is>
      </c>
      <c r="R369" s="31" t="n">
        <v>0</v>
      </c>
      <c r="S369" s="31" t="n">
        <v>7</v>
      </c>
      <c r="T369" s="31" t="n">
        <v>0</v>
      </c>
      <c r="U369" s="31" t="n">
        <v>2483</v>
      </c>
      <c r="V369" s="31" t="n">
        <v>1.38</v>
      </c>
      <c r="W369" s="31" t="n">
        <v>0</v>
      </c>
      <c r="X369" s="31" t="inlineStr">
        <is>
          <t>ユーカリデビュー3歳二--&gt;</t>
        </is>
      </c>
      <c r="Y369" s="31" t="n">
        <v>1</v>
      </c>
      <c r="Z369" s="31" t="inlineStr">
        <is>
          <t>牡</t>
        </is>
      </c>
    </row>
    <row r="370">
      <c r="A370" s="31" t="n">
        <v>2023</v>
      </c>
      <c r="B370" s="31" t="n">
        <v>94</v>
      </c>
      <c r="C370" s="31" t="inlineStr">
        <is>
          <t>レーゲンボーゲンの22</t>
        </is>
      </c>
      <c r="D370" s="31" t="inlineStr">
        <is>
          <t>ジーベンファルベン (Sieben Farben)</t>
        </is>
      </c>
      <c r="E370" s="31" t="inlineStr">
        <is>
          <t>レッドファルクス</t>
        </is>
      </c>
      <c r="F370" s="31" t="inlineStr">
        <is>
          <t>メス</t>
        </is>
      </c>
      <c r="G370" s="31" t="n">
        <v>4</v>
      </c>
      <c r="H370" s="31" t="n">
        <v>20</v>
      </c>
      <c r="I370" s="31" t="n">
        <v>1</v>
      </c>
      <c r="J370" s="31" t="n">
        <v>1800</v>
      </c>
      <c r="K370" s="31" t="n">
        <v>426</v>
      </c>
      <c r="L370" s="31" t="n">
        <v>152</v>
      </c>
      <c r="M370" s="31" t="n">
        <v>171.5</v>
      </c>
      <c r="N370" s="31" t="n">
        <v>20.3</v>
      </c>
      <c r="O370" s="31" t="n">
        <v>100</v>
      </c>
      <c r="P370" s="31" t="inlineStr">
        <is>
          <t>真島</t>
        </is>
      </c>
      <c r="Q370" s="31" t="inlineStr">
        <is>
          <t>14戦2勝</t>
        </is>
      </c>
      <c r="R370" s="31" t="n">
        <v>0</v>
      </c>
      <c r="S370" s="31" t="n">
        <v>2</v>
      </c>
      <c r="T370" s="31" t="n">
        <v>0</v>
      </c>
      <c r="U370" s="31" t="n">
        <v>1166</v>
      </c>
      <c r="V370" s="31" t="n">
        <v>0.65</v>
      </c>
      <c r="W370" s="31" t="n">
        <v>0</v>
      </c>
      <c r="X370" s="31" t="inlineStr">
        <is>
          <t>2歳三 四フローズン・ダイキリ賞--&gt;</t>
        </is>
      </c>
      <c r="Y370" s="31" t="n">
        <v>1</v>
      </c>
      <c r="Z370" s="31" t="inlineStr">
        <is>
          <t>420kg+</t>
        </is>
      </c>
    </row>
    <row r="371">
      <c r="A371" s="31" t="n">
        <v>2023</v>
      </c>
      <c r="B371" s="31" t="n">
        <v>95</v>
      </c>
      <c r="C371" s="31" t="inlineStr">
        <is>
          <t>ペニーウェディングの22</t>
        </is>
      </c>
      <c r="D371" s="31" t="inlineStr">
        <is>
          <t>ラッケンブース (Luckenbooth)</t>
        </is>
      </c>
      <c r="E371" s="31" t="inlineStr">
        <is>
          <t>ゴールドドリーム</t>
        </is>
      </c>
      <c r="F371" s="31" t="inlineStr">
        <is>
          <t>メス</t>
        </is>
      </c>
      <c r="G371" s="31" t="n">
        <v>4</v>
      </c>
      <c r="H371" s="31" t="n">
        <v>9</v>
      </c>
      <c r="I371" s="31" t="n">
        <v>1</v>
      </c>
      <c r="J371" s="31" t="n">
        <v>2000</v>
      </c>
      <c r="K371" s="31" t="n">
        <v>476</v>
      </c>
      <c r="L371" s="31" t="n">
        <v>156</v>
      </c>
      <c r="M371" s="31" t="n">
        <v>179.5</v>
      </c>
      <c r="N371" s="31" t="n">
        <v>20.5</v>
      </c>
      <c r="O371" s="31" t="n">
        <v>100</v>
      </c>
      <c r="P371" s="31" t="inlineStr">
        <is>
          <t>真島</t>
        </is>
      </c>
      <c r="Q371" s="31" t="inlineStr">
        <is>
          <t>18戦1勝</t>
        </is>
      </c>
      <c r="R371" s="31" t="n">
        <v>0</v>
      </c>
      <c r="S371" s="31" t="n">
        <v>1</v>
      </c>
      <c r="T371" s="31" t="n">
        <v>0</v>
      </c>
      <c r="U371" s="31" t="n">
        <v>536</v>
      </c>
      <c r="V371" s="31" t="n">
        <v>0.27</v>
      </c>
      <c r="W371" s="31" t="n">
        <v>0</v>
      </c>
      <c r="X371" s="31" t="inlineStr">
        <is>
          <t>2歳11 12--&gt;</t>
        </is>
      </c>
      <c r="Y371" s="31" t="n">
        <v>1</v>
      </c>
      <c r="Z371" s="31" t="inlineStr">
        <is>
          <t>420kg+</t>
        </is>
      </c>
    </row>
    <row r="372">
      <c r="A372" s="31" t="n">
        <v>2023</v>
      </c>
      <c r="B372" s="31" t="n">
        <v>96</v>
      </c>
      <c r="C372" s="31" t="inlineStr">
        <is>
          <t>ホーリーレジェンドの22</t>
        </is>
      </c>
      <c r="D372" s="31" t="inlineStr">
        <is>
          <t>ホーリーグレイル (Holy Grail)</t>
        </is>
      </c>
      <c r="E372" s="31" t="inlineStr">
        <is>
          <t>ナダル</t>
        </is>
      </c>
      <c r="F372" s="31" t="inlineStr">
        <is>
          <t>メス</t>
        </is>
      </c>
      <c r="G372" s="31" t="n">
        <v>2</v>
      </c>
      <c r="H372" s="31" t="n">
        <v>7</v>
      </c>
      <c r="I372" s="31" t="n">
        <v>1</v>
      </c>
      <c r="J372" s="31" t="n">
        <v>2000</v>
      </c>
      <c r="K372" s="31" t="n">
        <v>480</v>
      </c>
      <c r="L372" s="31" t="n">
        <v>155</v>
      </c>
      <c r="M372" s="31" t="n">
        <v>180</v>
      </c>
      <c r="N372" s="31" t="n">
        <v>20</v>
      </c>
      <c r="O372" s="31" t="n">
        <v>100</v>
      </c>
      <c r="P372" s="31" t="inlineStr">
        <is>
          <t>内田</t>
        </is>
      </c>
      <c r="Q372" s="31" t="inlineStr">
        <is>
          <t>15戦5勝</t>
        </is>
      </c>
      <c r="R372" s="31" t="n">
        <v>0</v>
      </c>
      <c r="S372" s="31" t="n">
        <v>5</v>
      </c>
      <c r="T372" s="31" t="n">
        <v>0</v>
      </c>
      <c r="U372" s="31" t="n">
        <v>7480</v>
      </c>
      <c r="V372" s="31" t="n">
        <v>3.74</v>
      </c>
      <c r="W372" s="31" t="n">
        <v>0</v>
      </c>
      <c r="X372" s="31" t="inlineStr">
        <is>
          <t>25'東京シンデレラマイル(G)25'ニューイヤーC(G)--&gt;</t>
        </is>
      </c>
      <c r="Y372" s="31" t="n">
        <v>1</v>
      </c>
      <c r="Z372" s="31" t="inlineStr">
        <is>
          <t>420kg+</t>
        </is>
      </c>
    </row>
    <row r="373">
      <c r="A373" s="31" t="n">
        <v>2024</v>
      </c>
      <c r="B373" s="31" t="n">
        <v>1</v>
      </c>
      <c r="C373" s="31" t="inlineStr">
        <is>
          <t>プライストトゥパーフェクションの23</t>
        </is>
      </c>
      <c r="D373" s="31" t="inlineStr">
        <is>
          <t>インヴァリュアブル</t>
        </is>
      </c>
      <c r="E373" s="31" t="inlineStr">
        <is>
          <t>キタサンブラック</t>
        </is>
      </c>
      <c r="F373" s="31" t="inlineStr">
        <is>
          <t>メス</t>
        </is>
      </c>
      <c r="G373" s="31" t="n">
        <v>2</v>
      </c>
      <c r="H373" s="31" t="n">
        <v>10</v>
      </c>
      <c r="I373" s="31" t="n">
        <v>1</v>
      </c>
      <c r="J373" s="31" t="n">
        <v>5000</v>
      </c>
      <c r="K373" s="31" t="n">
        <v>463</v>
      </c>
      <c r="L373" s="31" t="n">
        <v>156.5</v>
      </c>
      <c r="M373" s="31" t="n">
        <v>177</v>
      </c>
      <c r="N373" s="31" t="n">
        <v>20.6</v>
      </c>
      <c r="O373" s="31" t="n">
        <v>400</v>
      </c>
      <c r="P373" s="31" t="inlineStr">
        <is>
          <t>萩原清</t>
        </is>
      </c>
      <c r="Q373" s="31" t="inlineStr">
        <is>
          <t>0戦0勝</t>
        </is>
      </c>
      <c r="R373" s="31" t="n">
        <v>0</v>
      </c>
      <c r="S373" s="31" t="n">
        <v>0</v>
      </c>
      <c r="T373" s="31" t="n">
        <v>0</v>
      </c>
      <c r="U373" s="31" t="n">
        <v>0</v>
      </c>
      <c r="V373" s="31" t="n">
        <v>0</v>
      </c>
      <c r="W373" s="31" t="n">
        <v>0</v>
      </c>
      <c r="X373" s="31" t="inlineStr">
        <is>
          <t>--&gt;</t>
        </is>
      </c>
      <c r="Y373" s="31" t="n">
        <v>1</v>
      </c>
      <c r="Z373" s="31" t="inlineStr">
        <is>
          <t>420kg+</t>
        </is>
      </c>
    </row>
    <row r="374">
      <c r="A374" s="31" t="n">
        <v>2024</v>
      </c>
      <c r="B374" s="31" t="n">
        <v>2</v>
      </c>
      <c r="C374" s="31" t="inlineStr">
        <is>
          <t>イーデンキーの23</t>
        </is>
      </c>
      <c r="D374" s="31" t="inlineStr">
        <is>
          <t>グリオンヴール (Grianmhar)</t>
        </is>
      </c>
      <c r="E374" s="31" t="inlineStr">
        <is>
          <t>エピファネイア</t>
        </is>
      </c>
      <c r="F374" s="31" t="inlineStr">
        <is>
          <t>牡</t>
        </is>
      </c>
      <c r="G374" s="31" t="n">
        <v>3</v>
      </c>
      <c r="H374" s="31" t="n">
        <v>6</v>
      </c>
      <c r="I374" s="31" t="n">
        <v>1</v>
      </c>
      <c r="J374" s="31" t="n">
        <v>7000</v>
      </c>
      <c r="K374" s="31" t="n">
        <v>448</v>
      </c>
      <c r="L374" s="31" t="n">
        <v>153.5</v>
      </c>
      <c r="M374" s="31" t="n">
        <v>175</v>
      </c>
      <c r="N374" s="31" t="n">
        <v>20.7</v>
      </c>
      <c r="O374" s="31" t="n">
        <v>400</v>
      </c>
      <c r="P374" s="31" t="inlineStr">
        <is>
          <t>宮田敬介</t>
        </is>
      </c>
      <c r="Q374" s="31" t="inlineStr">
        <is>
          <t>5戦1勝</t>
        </is>
      </c>
      <c r="R374" s="31" t="n">
        <v>1</v>
      </c>
      <c r="S374" s="31" t="n">
        <v>0</v>
      </c>
      <c r="T374" s="31" t="n">
        <v>1500</v>
      </c>
      <c r="U374" s="31" t="n">
        <v>0</v>
      </c>
      <c r="V374" s="31" t="n">
        <v>0.21</v>
      </c>
      <c r="W374" s="31" t="n">
        <v>0</v>
      </c>
      <c r="X374" s="31" t="inlineStr">
        <is>
          <t>25'2歳新馬--&gt;</t>
        </is>
      </c>
      <c r="Y374" s="31" t="n">
        <v>2</v>
      </c>
      <c r="Z374" s="31" t="inlineStr">
        <is>
          <t>牡・420kg+</t>
        </is>
      </c>
    </row>
    <row r="375">
      <c r="A375" s="31" t="n">
        <v>2024</v>
      </c>
      <c r="B375" s="31" t="n">
        <v>3</v>
      </c>
      <c r="C375" s="31" t="inlineStr">
        <is>
          <t>ケイティーズハートの23</t>
        </is>
      </c>
      <c r="D375" s="31" t="inlineStr">
        <is>
          <t>エヴィーヴァ (Eviva)</t>
        </is>
      </c>
      <c r="E375" s="31" t="inlineStr">
        <is>
          <t>エピファネイア</t>
        </is>
      </c>
      <c r="F375" s="31" t="inlineStr">
        <is>
          <t>メス</t>
        </is>
      </c>
      <c r="G375" s="31" t="n">
        <v>3</v>
      </c>
      <c r="H375" s="31" t="n">
        <v>14</v>
      </c>
      <c r="I375" s="31" t="n">
        <v>1</v>
      </c>
      <c r="J375" s="31" t="n">
        <v>7000</v>
      </c>
      <c r="K375" s="31" t="n">
        <v>430</v>
      </c>
      <c r="L375" s="31" t="n">
        <v>151</v>
      </c>
      <c r="M375" s="31" t="n">
        <v>173</v>
      </c>
      <c r="N375" s="31" t="n">
        <v>19.4</v>
      </c>
      <c r="O375" s="31" t="n">
        <v>400</v>
      </c>
      <c r="P375" s="31" t="inlineStr">
        <is>
          <t>鹿戸雄一</t>
        </is>
      </c>
      <c r="Q375" s="31" t="inlineStr">
        <is>
          <t>3戦0勝</t>
        </is>
      </c>
      <c r="R375" s="31" t="n">
        <v>0</v>
      </c>
      <c r="S375" s="31" t="n">
        <v>0</v>
      </c>
      <c r="T375" s="31" t="n">
        <v>150</v>
      </c>
      <c r="U375" s="31" t="n">
        <v>0</v>
      </c>
      <c r="V375" s="31" t="n">
        <v>0.02</v>
      </c>
      <c r="W375" s="31" t="n">
        <v>0</v>
      </c>
      <c r="X375" s="31" t="inlineStr">
        <is>
          <t>--&gt;</t>
        </is>
      </c>
      <c r="Y375" s="31" t="n">
        <v>1</v>
      </c>
      <c r="Z375" s="31" t="inlineStr">
        <is>
          <t>420kg+</t>
        </is>
      </c>
    </row>
    <row r="376">
      <c r="A376" s="31" t="n">
        <v>2024</v>
      </c>
      <c r="B376" s="31" t="n">
        <v>4</v>
      </c>
      <c r="C376" s="31" t="inlineStr">
        <is>
          <t>フロアクラフトの23</t>
        </is>
      </c>
      <c r="D376" s="31" t="inlineStr">
        <is>
          <t>ギリーズボール (Ghillies' Ball)</t>
        </is>
      </c>
      <c r="E376" s="31" t="inlineStr">
        <is>
          <t>エピファネイア</t>
        </is>
      </c>
      <c r="F376" s="31" t="inlineStr">
        <is>
          <t>メス</t>
        </is>
      </c>
      <c r="G376" s="31" t="n">
        <v>5</v>
      </c>
      <c r="H376" s="31" t="n">
        <v>13</v>
      </c>
      <c r="I376" s="31" t="n">
        <v>1</v>
      </c>
      <c r="J376" s="31" t="n">
        <v>5000</v>
      </c>
      <c r="K376" s="31" t="n">
        <v>423</v>
      </c>
      <c r="L376" s="31" t="n">
        <v>156</v>
      </c>
      <c r="M376" s="31" t="n">
        <v>174.5</v>
      </c>
      <c r="N376" s="31" t="n">
        <v>19.6</v>
      </c>
      <c r="O376" s="31" t="n">
        <v>400</v>
      </c>
      <c r="P376" s="31" t="inlineStr">
        <is>
          <t>手塚貴久</t>
        </is>
      </c>
      <c r="Q376" s="31" t="inlineStr">
        <is>
          <t>4戦2勝</t>
        </is>
      </c>
      <c r="R376" s="31" t="n">
        <v>2</v>
      </c>
      <c r="S376" s="31" t="n">
        <v>0</v>
      </c>
      <c r="T376" s="31" t="n">
        <v>6078</v>
      </c>
      <c r="U376" s="31" t="n">
        <v>0</v>
      </c>
      <c r="V376" s="31" t="n">
        <v>1.22</v>
      </c>
      <c r="W376" s="31" t="n">
        <v>1</v>
      </c>
      <c r="X376" s="31" t="inlineStr">
        <is>
          <t>26'フィリーズレビュー(G2)25'2歳新馬--&gt;</t>
        </is>
      </c>
      <c r="Y376" s="31" t="n">
        <v>1</v>
      </c>
      <c r="Z376" s="31" t="inlineStr">
        <is>
          <t>420kg+</t>
        </is>
      </c>
    </row>
    <row r="377">
      <c r="A377" s="31" t="n">
        <v>2024</v>
      </c>
      <c r="B377" s="31" t="n">
        <v>5</v>
      </c>
      <c r="C377" s="31" t="inlineStr">
        <is>
          <t>アールブリュットの23</t>
        </is>
      </c>
      <c r="D377" s="31" t="inlineStr">
        <is>
          <t>パントルナイーフ (Peintre Naif)</t>
        </is>
      </c>
      <c r="E377" s="31" t="inlineStr">
        <is>
          <t>キズナ</t>
        </is>
      </c>
      <c r="F377" s="31" t="inlineStr">
        <is>
          <t>牡</t>
        </is>
      </c>
      <c r="G377" s="31" t="n">
        <v>4</v>
      </c>
      <c r="H377" s="31" t="n">
        <v>11</v>
      </c>
      <c r="I377" s="31" t="n">
        <v>1</v>
      </c>
      <c r="J377" s="31" t="n">
        <v>8000</v>
      </c>
      <c r="K377" s="31" t="n">
        <v>441</v>
      </c>
      <c r="L377" s="31" t="n">
        <v>156.5</v>
      </c>
      <c r="M377" s="31" t="n">
        <v>170.5</v>
      </c>
      <c r="N377" s="31" t="n">
        <v>19.3</v>
      </c>
      <c r="O377" s="31" t="n">
        <v>400</v>
      </c>
      <c r="P377" s="31" t="inlineStr">
        <is>
          <t>木村哲也</t>
        </is>
      </c>
      <c r="Q377" s="31" t="inlineStr">
        <is>
          <t>5戦2勝</t>
        </is>
      </c>
      <c r="R377" s="31" t="n">
        <v>2</v>
      </c>
      <c r="S377" s="31" t="n">
        <v>0</v>
      </c>
      <c r="T377" s="31" t="n">
        <v>17478</v>
      </c>
      <c r="U377" s="31" t="n">
        <v>0</v>
      </c>
      <c r="V377" s="31" t="n">
        <v>2.18</v>
      </c>
      <c r="W377" s="31" t="n">
        <v>1</v>
      </c>
      <c r="X377" s="31" t="inlineStr">
        <is>
          <t>25'東京スポーツ杯2歳S(G2)25'2歳未勝利--&gt;</t>
        </is>
      </c>
      <c r="Y377" s="31" t="n">
        <v>2</v>
      </c>
      <c r="Z377" s="31" t="inlineStr">
        <is>
          <t>牡・420kg+</t>
        </is>
      </c>
    </row>
    <row r="378">
      <c r="A378" s="31" t="n">
        <v>2024</v>
      </c>
      <c r="B378" s="31" t="n">
        <v>6</v>
      </c>
      <c r="C378" s="31" t="inlineStr">
        <is>
          <t>ウラヌスチャームの23</t>
        </is>
      </c>
      <c r="D378" s="31" t="inlineStr">
        <is>
          <t>ウラヌスリング (Uranus Ring)</t>
        </is>
      </c>
      <c r="E378" s="31" t="inlineStr">
        <is>
          <t>キズナ</t>
        </is>
      </c>
      <c r="F378" s="31" t="inlineStr">
        <is>
          <t>メス</t>
        </is>
      </c>
      <c r="G378" s="31" t="n">
        <v>2</v>
      </c>
      <c r="H378" s="31" t="n">
        <v>8</v>
      </c>
      <c r="I378" s="31" t="n">
        <v>1</v>
      </c>
      <c r="J378" s="31" t="n">
        <v>5000</v>
      </c>
      <c r="K378" s="31" t="n">
        <v>475</v>
      </c>
      <c r="L378" s="31" t="n">
        <v>157.5</v>
      </c>
      <c r="M378" s="31" t="n">
        <v>175</v>
      </c>
      <c r="N378" s="31" t="n">
        <v>19.8</v>
      </c>
      <c r="O378" s="31" t="n">
        <v>400</v>
      </c>
      <c r="P378" s="31" t="inlineStr">
        <is>
          <t>斎藤誠</t>
        </is>
      </c>
      <c r="Q378" s="31" t="inlineStr">
        <is>
          <t>1戦0勝</t>
        </is>
      </c>
      <c r="R378" s="31" t="n">
        <v>0</v>
      </c>
      <c r="S378" s="31" t="n">
        <v>0</v>
      </c>
      <c r="T378" s="31" t="n">
        <v>58</v>
      </c>
      <c r="U378" s="31" t="n">
        <v>0</v>
      </c>
      <c r="V378" s="31" t="n">
        <v>0.01</v>
      </c>
      <c r="W378" s="31" t="n">
        <v>0</v>
      </c>
      <c r="X378" s="31" t="inlineStr">
        <is>
          <t>--&gt;</t>
        </is>
      </c>
      <c r="Y378" s="31" t="n">
        <v>1</v>
      </c>
      <c r="Z378" s="31" t="inlineStr">
        <is>
          <t>420kg+</t>
        </is>
      </c>
    </row>
    <row r="379">
      <c r="A379" s="31" t="n">
        <v>2024</v>
      </c>
      <c r="B379" s="31" t="n">
        <v>7</v>
      </c>
      <c r="C379" s="31" t="inlineStr">
        <is>
          <t>シーブルックの23</t>
        </is>
      </c>
      <c r="D379" s="31" t="inlineStr">
        <is>
          <t>サンダーストラック (Thunderstruck)</t>
        </is>
      </c>
      <c r="E379" s="31" t="inlineStr">
        <is>
          <t>ロードカナロア</t>
        </is>
      </c>
      <c r="F379" s="31" t="inlineStr">
        <is>
          <t>牡</t>
        </is>
      </c>
      <c r="G379" s="31" t="n">
        <v>2</v>
      </c>
      <c r="H379" s="31" t="n">
        <v>8</v>
      </c>
      <c r="I379" s="31" t="n">
        <v>1</v>
      </c>
      <c r="J379" s="31" t="n">
        <v>8000</v>
      </c>
      <c r="K379" s="31" t="n">
        <v>490</v>
      </c>
      <c r="L379" s="31" t="n">
        <v>158</v>
      </c>
      <c r="M379" s="31" t="n">
        <v>184</v>
      </c>
      <c r="N379" s="31" t="n">
        <v>21.1</v>
      </c>
      <c r="O379" s="31" t="n">
        <v>400</v>
      </c>
      <c r="P379" s="31" t="inlineStr">
        <is>
          <t>木村哲也</t>
        </is>
      </c>
      <c r="Q379" s="31" t="inlineStr">
        <is>
          <t>6戦2勝</t>
        </is>
      </c>
      <c r="R379" s="31" t="n">
        <v>2</v>
      </c>
      <c r="S379" s="31" t="n">
        <v>0</v>
      </c>
      <c r="T379" s="31" t="n">
        <v>5018</v>
      </c>
      <c r="U379" s="31" t="n">
        <v>0</v>
      </c>
      <c r="V379" s="31" t="n">
        <v>0.63</v>
      </c>
      <c r="W379" s="31" t="n">
        <v>1</v>
      </c>
      <c r="X379" s="31" t="inlineStr">
        <is>
          <t>26'シンザン記念(G3)25'2歳新馬--&gt;</t>
        </is>
      </c>
      <c r="Y379" s="31" t="n">
        <v>2</v>
      </c>
      <c r="Z379" s="31" t="inlineStr">
        <is>
          <t>牡・420kg+</t>
        </is>
      </c>
    </row>
    <row r="380">
      <c r="A380" s="31" t="n">
        <v>2024</v>
      </c>
      <c r="B380" s="31" t="n">
        <v>8</v>
      </c>
      <c r="C380" s="31" t="inlineStr">
        <is>
          <t>ラッキーダイムの23</t>
        </is>
      </c>
      <c r="D380" s="31" t="inlineStr">
        <is>
          <t>セントゴーデンス (Saint Gaudens)</t>
        </is>
      </c>
      <c r="E380" s="31" t="inlineStr">
        <is>
          <t>ロードカナロア</t>
        </is>
      </c>
      <c r="F380" s="31" t="inlineStr">
        <is>
          <t>牡</t>
        </is>
      </c>
      <c r="G380" s="31" t="n">
        <v>3</v>
      </c>
      <c r="H380" s="31" t="n">
        <v>6</v>
      </c>
      <c r="I380" s="31" t="n">
        <v>1</v>
      </c>
      <c r="J380" s="31" t="n">
        <v>7000</v>
      </c>
      <c r="K380" s="31" t="n">
        <v>478</v>
      </c>
      <c r="L380" s="31" t="n">
        <v>157</v>
      </c>
      <c r="M380" s="31" t="n">
        <v>173</v>
      </c>
      <c r="N380" s="31" t="n">
        <v>21.3</v>
      </c>
      <c r="O380" s="31" t="n">
        <v>400</v>
      </c>
      <c r="P380" s="31" t="inlineStr">
        <is>
          <t>黒岩陽一</t>
        </is>
      </c>
      <c r="Q380" s="31" t="inlineStr">
        <is>
          <t>7戦1勝</t>
        </is>
      </c>
      <c r="R380" s="31" t="n">
        <v>1</v>
      </c>
      <c r="S380" s="31" t="n">
        <v>0</v>
      </c>
      <c r="T380" s="31" t="n">
        <v>698</v>
      </c>
      <c r="U380" s="31" t="n">
        <v>0</v>
      </c>
      <c r="V380" s="31" t="n">
        <v>0.1</v>
      </c>
      <c r="W380" s="31" t="n">
        <v>0</v>
      </c>
      <c r="X380" s="31" t="inlineStr">
        <is>
          <t>25'2歳未勝利--&gt;</t>
        </is>
      </c>
      <c r="Y380" s="31" t="n">
        <v>2</v>
      </c>
      <c r="Z380" s="31" t="inlineStr">
        <is>
          <t>牡・420kg+</t>
        </is>
      </c>
    </row>
    <row r="381">
      <c r="A381" s="31" t="n">
        <v>2024</v>
      </c>
      <c r="B381" s="31" t="n">
        <v>9</v>
      </c>
      <c r="C381" s="31" t="inlineStr">
        <is>
          <t>ラドラーダの23</t>
        </is>
      </c>
      <c r="D381" s="31" t="inlineStr">
        <is>
          <t>レイジングサージ (Raging Surge)</t>
        </is>
      </c>
      <c r="E381" s="31" t="inlineStr">
        <is>
          <t>サートゥルナーリア</t>
        </is>
      </c>
      <c r="F381" s="31" t="inlineStr">
        <is>
          <t>牡</t>
        </is>
      </c>
      <c r="G381" s="31" t="n">
        <v>1</v>
      </c>
      <c r="H381" s="31" t="n">
        <v>17</v>
      </c>
      <c r="I381" s="31" t="n">
        <v>1</v>
      </c>
      <c r="J381" s="31" t="n">
        <v>10000</v>
      </c>
      <c r="K381" s="31" t="n">
        <v>490</v>
      </c>
      <c r="L381" s="31" t="n">
        <v>154</v>
      </c>
      <c r="M381" s="31" t="n">
        <v>179</v>
      </c>
      <c r="N381" s="31" t="n">
        <v>21</v>
      </c>
      <c r="O381" s="31" t="n">
        <v>400</v>
      </c>
      <c r="P381" s="31" t="inlineStr">
        <is>
          <t>田中博康</t>
        </is>
      </c>
      <c r="Q381" s="31" t="inlineStr">
        <is>
          <t>0戦0勝</t>
        </is>
      </c>
      <c r="R381" s="31" t="n">
        <v>0</v>
      </c>
      <c r="S381" s="31" t="n">
        <v>0</v>
      </c>
      <c r="T381" s="31" t="n">
        <v>0</v>
      </c>
      <c r="U381" s="31" t="n">
        <v>0</v>
      </c>
      <c r="V381" s="31" t="n">
        <v>0</v>
      </c>
      <c r="W381" s="31" t="n">
        <v>0</v>
      </c>
      <c r="X381" s="31" t="inlineStr">
        <is>
          <t>--&gt;</t>
        </is>
      </c>
      <c r="Y381" s="31" t="n">
        <v>2</v>
      </c>
      <c r="Z381" s="31" t="inlineStr">
        <is>
          <t>牡・420kg+</t>
        </is>
      </c>
    </row>
    <row r="382">
      <c r="A382" s="31" t="n">
        <v>2024</v>
      </c>
      <c r="B382" s="31" t="n">
        <v>10</v>
      </c>
      <c r="C382" s="31" t="inlineStr">
        <is>
          <t>カヴァートラブの23</t>
        </is>
      </c>
      <c r="D382" s="31" t="inlineStr">
        <is>
          <t>ヴェイルドハート (Veiled Heart)</t>
        </is>
      </c>
      <c r="E382" s="31" t="inlineStr">
        <is>
          <t>サートゥルナーリア</t>
        </is>
      </c>
      <c r="F382" s="31" t="inlineStr">
        <is>
          <t>牡</t>
        </is>
      </c>
      <c r="G382" s="31" t="n">
        <v>2</v>
      </c>
      <c r="H382" s="31" t="n">
        <v>11</v>
      </c>
      <c r="I382" s="31" t="n">
        <v>1</v>
      </c>
      <c r="J382" s="31" t="n">
        <v>6000</v>
      </c>
      <c r="K382" s="31" t="n">
        <v>552</v>
      </c>
      <c r="L382" s="31" t="n">
        <v>161</v>
      </c>
      <c r="M382" s="31" t="n">
        <v>183.5</v>
      </c>
      <c r="N382" s="31" t="n">
        <v>21.8</v>
      </c>
      <c r="O382" s="31" t="n">
        <v>400</v>
      </c>
      <c r="P382" s="31" t="inlineStr">
        <is>
          <t>尾関知人</t>
        </is>
      </c>
      <c r="Q382" s="31" t="inlineStr">
        <is>
          <t>2戦0勝</t>
        </is>
      </c>
      <c r="R382" s="31" t="n">
        <v>0</v>
      </c>
      <c r="S382" s="31" t="n">
        <v>0</v>
      </c>
      <c r="T382" s="31" t="n">
        <v>0</v>
      </c>
      <c r="U382" s="31" t="n">
        <v>0</v>
      </c>
      <c r="V382" s="31" t="n">
        <v>0</v>
      </c>
      <c r="W382" s="31" t="n">
        <v>0</v>
      </c>
      <c r="X382" s="31" t="inlineStr">
        <is>
          <t>--&gt;</t>
        </is>
      </c>
      <c r="Y382" s="31" t="n">
        <v>2</v>
      </c>
      <c r="Z382" s="31" t="inlineStr">
        <is>
          <t>牡・420kg+</t>
        </is>
      </c>
    </row>
    <row r="383">
      <c r="A383" s="31" t="n">
        <v>2024</v>
      </c>
      <c r="B383" s="31" t="n">
        <v>11</v>
      </c>
      <c r="C383" s="31" t="inlineStr">
        <is>
          <t>コントラチェックの23</t>
        </is>
      </c>
      <c r="D383" s="31" t="inlineStr">
        <is>
          <t>カーブドフェザー (Curved Feather)</t>
        </is>
      </c>
      <c r="E383" s="31" t="inlineStr">
        <is>
          <t>サートゥルナーリア</t>
        </is>
      </c>
      <c r="F383" s="31" t="inlineStr">
        <is>
          <t>メス</t>
        </is>
      </c>
      <c r="G383" s="31" t="n">
        <v>2</v>
      </c>
      <c r="H383" s="31" t="n">
        <v>7</v>
      </c>
      <c r="I383" s="31" t="n">
        <v>1</v>
      </c>
      <c r="J383" s="31" t="n">
        <v>5000</v>
      </c>
      <c r="K383" s="31" t="n">
        <v>431</v>
      </c>
      <c r="L383" s="31" t="n">
        <v>150.5</v>
      </c>
      <c r="M383" s="31" t="n">
        <v>175.5</v>
      </c>
      <c r="N383" s="31" t="n">
        <v>20.3</v>
      </c>
      <c r="O383" s="31" t="n">
        <v>400</v>
      </c>
      <c r="P383" s="31" t="inlineStr">
        <is>
          <t>蛯名正義</t>
        </is>
      </c>
      <c r="Q383" s="31" t="inlineStr">
        <is>
          <t>2戦0勝</t>
        </is>
      </c>
      <c r="R383" s="31" t="n">
        <v>0</v>
      </c>
      <c r="S383" s="31" t="n">
        <v>0</v>
      </c>
      <c r="T383" s="31" t="n">
        <v>0</v>
      </c>
      <c r="U383" s="31" t="n">
        <v>0</v>
      </c>
      <c r="V383" s="31" t="n">
        <v>0</v>
      </c>
      <c r="W383" s="31" t="n">
        <v>0</v>
      </c>
      <c r="X383" s="31" t="inlineStr">
        <is>
          <t>--&gt;</t>
        </is>
      </c>
      <c r="Y383" s="31" t="n">
        <v>1</v>
      </c>
      <c r="Z383" s="31" t="inlineStr">
        <is>
          <t>420kg+</t>
        </is>
      </c>
    </row>
    <row r="384">
      <c r="A384" s="31" t="n">
        <v>2024</v>
      </c>
      <c r="B384" s="31" t="n">
        <v>12</v>
      </c>
      <c r="C384" s="31" t="inlineStr">
        <is>
          <t>フェルミオンの23</t>
        </is>
      </c>
      <c r="D384" s="31" t="inlineStr">
        <is>
          <t>フェルミアーク (Fermi Arc)</t>
        </is>
      </c>
      <c r="E384" s="31" t="inlineStr">
        <is>
          <t>サートゥルナーリア</t>
        </is>
      </c>
      <c r="F384" s="31" t="inlineStr">
        <is>
          <t>メス</t>
        </is>
      </c>
      <c r="G384" s="31" t="n">
        <v>4</v>
      </c>
      <c r="H384" s="31" t="n">
        <v>17</v>
      </c>
      <c r="I384" s="31" t="n">
        <v>1</v>
      </c>
      <c r="J384" s="31" t="n">
        <v>3600</v>
      </c>
      <c r="K384" s="31" t="n">
        <v>446</v>
      </c>
      <c r="L384" s="31" t="n">
        <v>150.5</v>
      </c>
      <c r="M384" s="31" t="n">
        <v>171</v>
      </c>
      <c r="N384" s="31" t="n">
        <v>19.5</v>
      </c>
      <c r="O384" s="31" t="n">
        <v>400</v>
      </c>
      <c r="P384" s="31" t="inlineStr">
        <is>
          <t>森一誠</t>
        </is>
      </c>
      <c r="Q384" s="31" t="inlineStr">
        <is>
          <t>4戦2勝</t>
        </is>
      </c>
      <c r="R384" s="31" t="n">
        <v>2</v>
      </c>
      <c r="S384" s="31" t="n">
        <v>0</v>
      </c>
      <c r="T384" s="31" t="n">
        <v>1975</v>
      </c>
      <c r="U384" s="31" t="n">
        <v>0</v>
      </c>
      <c r="V384" s="31" t="n">
        <v>0.55</v>
      </c>
      <c r="W384" s="31" t="n">
        <v>0</v>
      </c>
      <c r="X384" s="31" t="inlineStr">
        <is>
          <t>26'3歳1勝クラス25'2歳新馬--&gt;</t>
        </is>
      </c>
      <c r="Y384" s="31" t="n">
        <v>2</v>
      </c>
      <c r="Z384" s="31" t="inlineStr">
        <is>
          <t>価格帯・420kg+</t>
        </is>
      </c>
    </row>
    <row r="385">
      <c r="A385" s="31" t="n">
        <v>2024</v>
      </c>
      <c r="B385" s="31" t="n">
        <v>13</v>
      </c>
      <c r="C385" s="31" t="inlineStr">
        <is>
          <t>バウンスシャッセの23</t>
        </is>
      </c>
      <c r="D385" s="31" t="inlineStr">
        <is>
          <t>フォワードシャッセ (Forward Chasse)</t>
        </is>
      </c>
      <c r="E385" s="31" t="inlineStr">
        <is>
          <t>サートゥルナーリア</t>
        </is>
      </c>
      <c r="F385" s="31" t="inlineStr">
        <is>
          <t>メス</t>
        </is>
      </c>
      <c r="G385" s="31" t="n">
        <v>4</v>
      </c>
      <c r="H385" s="31" t="n">
        <v>12</v>
      </c>
      <c r="I385" s="31" t="n">
        <v>1</v>
      </c>
      <c r="J385" s="31" t="n">
        <v>4000</v>
      </c>
      <c r="K385" s="31" t="n">
        <v>464</v>
      </c>
      <c r="L385" s="31" t="n">
        <v>151</v>
      </c>
      <c r="M385" s="31" t="n">
        <v>186.5</v>
      </c>
      <c r="N385" s="31" t="n">
        <v>19.4</v>
      </c>
      <c r="O385" s="31" t="n">
        <v>400</v>
      </c>
      <c r="P385" s="31" t="inlineStr">
        <is>
          <t>奥村武</t>
        </is>
      </c>
      <c r="Q385" s="31" t="inlineStr">
        <is>
          <t>4戦0勝</t>
        </is>
      </c>
      <c r="R385" s="31" t="n">
        <v>0</v>
      </c>
      <c r="S385" s="31" t="n">
        <v>0</v>
      </c>
      <c r="T385" s="31" t="n">
        <v>89</v>
      </c>
      <c r="U385" s="31" t="n">
        <v>0</v>
      </c>
      <c r="V385" s="31" t="n">
        <v>0.02</v>
      </c>
      <c r="W385" s="31" t="n">
        <v>0</v>
      </c>
      <c r="X385" s="31" t="inlineStr">
        <is>
          <t>--&gt;</t>
        </is>
      </c>
      <c r="Y385" s="31" t="n">
        <v>1</v>
      </c>
      <c r="Z385" s="31" t="inlineStr">
        <is>
          <t>420kg+</t>
        </is>
      </c>
    </row>
    <row r="386">
      <c r="A386" s="31" t="n">
        <v>2024</v>
      </c>
      <c r="B386" s="31" t="n">
        <v>14</v>
      </c>
      <c r="C386" s="31" t="inlineStr">
        <is>
          <t>ビッグワールドの23</t>
        </is>
      </c>
      <c r="D386" s="31" t="inlineStr">
        <is>
          <t>ランザワールド (Run the World)</t>
        </is>
      </c>
      <c r="E386" s="31" t="inlineStr">
        <is>
          <t>コントレイル</t>
        </is>
      </c>
      <c r="F386" s="31" t="inlineStr">
        <is>
          <t>メス</t>
        </is>
      </c>
      <c r="G386" s="31" t="n">
        <v>4</v>
      </c>
      <c r="H386" s="31" t="n">
        <v>10</v>
      </c>
      <c r="I386" s="31" t="n">
        <v>1</v>
      </c>
      <c r="J386" s="31" t="n">
        <v>5000</v>
      </c>
      <c r="K386" s="31" t="n">
        <v>448</v>
      </c>
      <c r="L386" s="31" t="n">
        <v>158</v>
      </c>
      <c r="M386" s="31" t="n">
        <v>176</v>
      </c>
      <c r="N386" s="31" t="n">
        <v>20.5</v>
      </c>
      <c r="O386" s="31" t="n">
        <v>400</v>
      </c>
      <c r="P386" s="31" t="inlineStr">
        <is>
          <t>宮田敬介</t>
        </is>
      </c>
      <c r="Q386" s="31" t="inlineStr">
        <is>
          <t>2戦1勝</t>
        </is>
      </c>
      <c r="R386" s="31" t="n">
        <v>1</v>
      </c>
      <c r="S386" s="31" t="n">
        <v>0</v>
      </c>
      <c r="T386" s="31" t="n">
        <v>942</v>
      </c>
      <c r="U386" s="31" t="n">
        <v>0</v>
      </c>
      <c r="V386" s="31" t="n">
        <v>0.19</v>
      </c>
      <c r="W386" s="31" t="n">
        <v>0</v>
      </c>
      <c r="X386" s="31" t="inlineStr">
        <is>
          <t>26'3歳新馬--&gt;</t>
        </is>
      </c>
      <c r="Y386" s="31" t="n">
        <v>1</v>
      </c>
      <c r="Z386" s="31" t="inlineStr">
        <is>
          <t>420kg+</t>
        </is>
      </c>
    </row>
    <row r="387">
      <c r="A387" s="31" t="n">
        <v>2024</v>
      </c>
      <c r="B387" s="31" t="n">
        <v>15</v>
      </c>
      <c r="C387" s="31" t="inlineStr">
        <is>
          <t>シーリアの23</t>
        </is>
      </c>
      <c r="D387" s="31" t="inlineStr">
        <is>
          <t>ギャニミード (Ganymede)</t>
        </is>
      </c>
      <c r="E387" s="31" t="inlineStr">
        <is>
          <t>ドレフォン</t>
        </is>
      </c>
      <c r="F387" s="31" t="inlineStr">
        <is>
          <t>メス</t>
        </is>
      </c>
      <c r="G387" s="31" t="n">
        <v>2</v>
      </c>
      <c r="H387" s="31" t="n">
        <v>8</v>
      </c>
      <c r="I387" s="31" t="n">
        <v>1</v>
      </c>
      <c r="J387" s="31" t="n">
        <v>4400</v>
      </c>
      <c r="K387" s="31" t="n">
        <v>485</v>
      </c>
      <c r="L387" s="31" t="n">
        <v>155</v>
      </c>
      <c r="M387" s="31" t="n">
        <v>179.5</v>
      </c>
      <c r="N387" s="31" t="n">
        <v>20.1</v>
      </c>
      <c r="O387" s="31" t="n">
        <v>400</v>
      </c>
      <c r="P387" s="31" t="inlineStr">
        <is>
          <t>木村哲也</t>
        </is>
      </c>
      <c r="Q387" s="31" t="inlineStr">
        <is>
          <t>3戦0勝</t>
        </is>
      </c>
      <c r="R387" s="31" t="n">
        <v>0</v>
      </c>
      <c r="S387" s="31" t="n">
        <v>0</v>
      </c>
      <c r="T387" s="31" t="n">
        <v>65</v>
      </c>
      <c r="U387" s="31" t="n">
        <v>0</v>
      </c>
      <c r="V387" s="31" t="n">
        <v>0.01</v>
      </c>
      <c r="W387" s="31" t="n">
        <v>0</v>
      </c>
      <c r="X387" s="31" t="inlineStr">
        <is>
          <t>--&gt;</t>
        </is>
      </c>
      <c r="Y387" s="31" t="n">
        <v>1</v>
      </c>
      <c r="Z387" s="31" t="inlineStr">
        <is>
          <t>420kg+</t>
        </is>
      </c>
    </row>
    <row r="388">
      <c r="A388" s="31" t="n">
        <v>2024</v>
      </c>
      <c r="B388" s="31" t="n">
        <v>16</v>
      </c>
      <c r="C388" s="31" t="inlineStr">
        <is>
          <t>ダイアナブライトの23</t>
        </is>
      </c>
      <c r="D388" s="31" t="inlineStr">
        <is>
          <t>カーマインジュエル (Carmine Jewel)</t>
        </is>
      </c>
      <c r="E388" s="31" t="inlineStr">
        <is>
          <t>ドレフォン</t>
        </is>
      </c>
      <c r="F388" s="31" t="inlineStr">
        <is>
          <t>メス</t>
        </is>
      </c>
      <c r="G388" s="31" t="n">
        <v>3</v>
      </c>
      <c r="H388" s="31" t="n">
        <v>7</v>
      </c>
      <c r="I388" s="31" t="n">
        <v>1</v>
      </c>
      <c r="J388" s="31" t="n">
        <v>4000</v>
      </c>
      <c r="K388" s="31" t="n">
        <v>463</v>
      </c>
      <c r="L388" s="31" t="n">
        <v>148.5</v>
      </c>
      <c r="M388" s="31" t="n">
        <v>176.5</v>
      </c>
      <c r="N388" s="31" t="n">
        <v>20.2</v>
      </c>
      <c r="O388" s="31" t="n">
        <v>400</v>
      </c>
      <c r="P388" s="31" t="inlineStr">
        <is>
          <t>尾関知人</t>
        </is>
      </c>
      <c r="Q388" s="31" t="inlineStr">
        <is>
          <t>5戦0勝</t>
        </is>
      </c>
      <c r="R388" s="31" t="n">
        <v>0</v>
      </c>
      <c r="S388" s="31" t="n">
        <v>0</v>
      </c>
      <c r="T388" s="31" t="n">
        <v>0</v>
      </c>
      <c r="U388" s="31" t="n">
        <v>120</v>
      </c>
      <c r="V388" s="31" t="n">
        <v>0.03</v>
      </c>
      <c r="W388" s="31" t="n">
        <v>0</v>
      </c>
      <c r="X388" s="31" t="inlineStr">
        <is>
          <t>--&gt;</t>
        </is>
      </c>
      <c r="Y388" s="31" t="n">
        <v>1</v>
      </c>
      <c r="Z388" s="31" t="inlineStr">
        <is>
          <t>420kg+</t>
        </is>
      </c>
    </row>
    <row r="389">
      <c r="A389" s="31" t="n">
        <v>2024</v>
      </c>
      <c r="B389" s="31" t="n">
        <v>17</v>
      </c>
      <c r="C389" s="31" t="inlineStr">
        <is>
          <t>マリアライトの23</t>
        </is>
      </c>
      <c r="D389" s="31" t="inlineStr">
        <is>
          <t>シャンパンクォーツ (Champagne Quartz)</t>
        </is>
      </c>
      <c r="E389" s="31" t="inlineStr">
        <is>
          <t>ドレフォン</t>
        </is>
      </c>
      <c r="F389" s="31" t="inlineStr">
        <is>
          <t>メス</t>
        </is>
      </c>
      <c r="G389" s="31" t="n">
        <v>4</v>
      </c>
      <c r="H389" s="31" t="n">
        <v>12</v>
      </c>
      <c r="I389" s="31" t="n">
        <v>1</v>
      </c>
      <c r="J389" s="31" t="n">
        <v>4000</v>
      </c>
      <c r="K389" s="31" t="n">
        <v>402</v>
      </c>
      <c r="L389" s="31" t="n">
        <v>148</v>
      </c>
      <c r="M389" s="31" t="n">
        <v>173</v>
      </c>
      <c r="N389" s="31" t="n">
        <v>19</v>
      </c>
      <c r="O389" s="31" t="n">
        <v>400</v>
      </c>
      <c r="P389" s="31" t="inlineStr">
        <is>
          <t>久保田貴士</t>
        </is>
      </c>
      <c r="Q389" s="31" t="inlineStr">
        <is>
          <t>2戦0勝</t>
        </is>
      </c>
      <c r="R389" s="31" t="n">
        <v>0</v>
      </c>
      <c r="S389" s="31" t="n">
        <v>0</v>
      </c>
      <c r="T389" s="31" t="n">
        <v>0</v>
      </c>
      <c r="U389" s="31" t="n">
        <v>0</v>
      </c>
      <c r="V389" s="31" t="n">
        <v>0</v>
      </c>
      <c r="W389" s="31" t="n">
        <v>0</v>
      </c>
      <c r="X389" s="31" t="inlineStr">
        <is>
          <t>--&gt;</t>
        </is>
      </c>
      <c r="Y389" s="31" t="n">
        <v>0</v>
      </c>
      <c r="Z389" s="31" t="inlineStr"/>
    </row>
    <row r="390">
      <c r="A390" s="31" t="n">
        <v>2024</v>
      </c>
      <c r="B390" s="31" t="n">
        <v>18</v>
      </c>
      <c r="C390" s="31" t="inlineStr">
        <is>
          <t>ルージュバックの23</t>
        </is>
      </c>
      <c r="D390" s="31" t="inlineStr">
        <is>
          <t>ボニープリンス (Bonnie Prince)</t>
        </is>
      </c>
      <c r="E390" s="31" t="inlineStr">
        <is>
          <t>レイデオロ</t>
        </is>
      </c>
      <c r="F390" s="31" t="inlineStr">
        <is>
          <t>牡</t>
        </is>
      </c>
      <c r="G390" s="31" t="n">
        <v>1</v>
      </c>
      <c r="H390" s="31" t="n">
        <v>11</v>
      </c>
      <c r="I390" s="31" t="n">
        <v>1</v>
      </c>
      <c r="J390" s="31" t="n">
        <v>6000</v>
      </c>
      <c r="K390" s="31" t="n">
        <v>470</v>
      </c>
      <c r="L390" s="31" t="n">
        <v>156</v>
      </c>
      <c r="M390" s="31" t="n">
        <v>180.5</v>
      </c>
      <c r="N390" s="31" t="n">
        <v>20.4</v>
      </c>
      <c r="O390" s="31" t="n">
        <v>400</v>
      </c>
      <c r="P390" s="31" t="inlineStr">
        <is>
          <t>大竹正博</t>
        </is>
      </c>
      <c r="Q390" s="31" t="inlineStr">
        <is>
          <t>4戦1勝</t>
        </is>
      </c>
      <c r="R390" s="31" t="n">
        <v>1</v>
      </c>
      <c r="S390" s="31" t="n">
        <v>0</v>
      </c>
      <c r="T390" s="31" t="n">
        <v>820</v>
      </c>
      <c r="U390" s="31" t="n">
        <v>0</v>
      </c>
      <c r="V390" s="31" t="n">
        <v>0.14</v>
      </c>
      <c r="W390" s="31" t="n">
        <v>0</v>
      </c>
      <c r="X390" s="31" t="inlineStr">
        <is>
          <t>26'3歳未勝利--&gt;</t>
        </is>
      </c>
      <c r="Y390" s="31" t="n">
        <v>2</v>
      </c>
      <c r="Z390" s="31" t="inlineStr">
        <is>
          <t>牡・420kg+</t>
        </is>
      </c>
    </row>
    <row r="391">
      <c r="A391" s="31" t="n">
        <v>2024</v>
      </c>
      <c r="B391" s="31" t="n">
        <v>19</v>
      </c>
      <c r="C391" s="31" t="inlineStr">
        <is>
          <t>アロマドゥルセの23</t>
        </is>
      </c>
      <c r="D391" s="31" t="inlineStr">
        <is>
          <t>ベイツリー (Bay Tree)</t>
        </is>
      </c>
      <c r="E391" s="31" t="inlineStr">
        <is>
          <t>レイデオロ</t>
        </is>
      </c>
      <c r="F391" s="31" t="inlineStr">
        <is>
          <t>牡</t>
        </is>
      </c>
      <c r="G391" s="31" t="n">
        <v>2</v>
      </c>
      <c r="H391" s="31" t="n">
        <v>9</v>
      </c>
      <c r="I391" s="31" t="n">
        <v>1</v>
      </c>
      <c r="J391" s="31" t="n">
        <v>3200</v>
      </c>
      <c r="K391" s="31" t="n">
        <v>399</v>
      </c>
      <c r="L391" s="31" t="n">
        <v>150</v>
      </c>
      <c r="M391" s="31" t="n">
        <v>170</v>
      </c>
      <c r="N391" s="31" t="n">
        <v>19</v>
      </c>
      <c r="O391" s="31" t="n">
        <v>400</v>
      </c>
      <c r="P391" s="31" t="inlineStr">
        <is>
          <t>村田一誠</t>
        </is>
      </c>
      <c r="Q391" s="31" t="inlineStr">
        <is>
          <t>4戦0勝</t>
        </is>
      </c>
      <c r="R391" s="31" t="n">
        <v>0</v>
      </c>
      <c r="S391" s="31" t="n">
        <v>0</v>
      </c>
      <c r="T391" s="31" t="n">
        <v>0</v>
      </c>
      <c r="U391" s="31" t="n">
        <v>0</v>
      </c>
      <c r="V391" s="31" t="n">
        <v>0</v>
      </c>
      <c r="W391" s="31" t="n">
        <v>0</v>
      </c>
      <c r="X391" s="31" t="inlineStr">
        <is>
          <t>--&gt;</t>
        </is>
      </c>
      <c r="Y391" s="31" t="n">
        <v>2</v>
      </c>
      <c r="Z391" s="31" t="inlineStr">
        <is>
          <t>牡・価格帯</t>
        </is>
      </c>
    </row>
    <row r="392">
      <c r="A392" s="31" t="n">
        <v>2024</v>
      </c>
      <c r="B392" s="31" t="n">
        <v>20</v>
      </c>
      <c r="C392" s="31" t="inlineStr">
        <is>
          <t>アディクティドの23</t>
        </is>
      </c>
      <c r="D392" s="31" t="inlineStr">
        <is>
          <t>リコラピッド (Rico Rapido)</t>
        </is>
      </c>
      <c r="E392" s="31" t="inlineStr">
        <is>
          <t>レイデオロ</t>
        </is>
      </c>
      <c r="F392" s="31" t="inlineStr">
        <is>
          <t>メス</t>
        </is>
      </c>
      <c r="G392" s="31" t="n">
        <v>4</v>
      </c>
      <c r="H392" s="31" t="n">
        <v>17</v>
      </c>
      <c r="I392" s="31" t="n">
        <v>1</v>
      </c>
      <c r="J392" s="31" t="n">
        <v>3000</v>
      </c>
      <c r="K392" s="31" t="n">
        <v>443</v>
      </c>
      <c r="L392" s="31" t="n">
        <v>153.5</v>
      </c>
      <c r="M392" s="31" t="n">
        <v>175</v>
      </c>
      <c r="N392" s="31" t="n">
        <v>19.8</v>
      </c>
      <c r="O392" s="31" t="n">
        <v>400</v>
      </c>
      <c r="P392" s="31" t="inlineStr">
        <is>
          <t>森一誠</t>
        </is>
      </c>
      <c r="Q392" s="31" t="inlineStr">
        <is>
          <t>2戦0勝</t>
        </is>
      </c>
      <c r="R392" s="31" t="n">
        <v>0</v>
      </c>
      <c r="S392" s="31" t="n">
        <v>0</v>
      </c>
      <c r="T392" s="31" t="n">
        <v>0</v>
      </c>
      <c r="U392" s="31" t="n">
        <v>0</v>
      </c>
      <c r="V392" s="31" t="n">
        <v>0</v>
      </c>
      <c r="W392" s="31" t="n">
        <v>0</v>
      </c>
      <c r="X392" s="31" t="inlineStr">
        <is>
          <t>--&gt;</t>
        </is>
      </c>
      <c r="Y392" s="31" t="n">
        <v>2</v>
      </c>
      <c r="Z392" s="31" t="inlineStr">
        <is>
          <t>価格帯・420kg+</t>
        </is>
      </c>
    </row>
    <row r="393">
      <c r="A393" s="31" t="n">
        <v>2024</v>
      </c>
      <c r="B393" s="31" t="n">
        <v>21</v>
      </c>
      <c r="C393" s="31" t="inlineStr">
        <is>
          <t>ディーパワンサの23</t>
        </is>
      </c>
      <c r="D393" s="31" t="inlineStr">
        <is>
          <t>トロフィーポーズ (Trophy Pose)</t>
        </is>
      </c>
      <c r="E393" s="31" t="inlineStr">
        <is>
          <t>ナダル</t>
        </is>
      </c>
      <c r="F393" s="31" t="inlineStr">
        <is>
          <t>牡</t>
        </is>
      </c>
      <c r="G393" s="31" t="n">
        <v>4</v>
      </c>
      <c r="H393" s="31" t="n">
        <v>9</v>
      </c>
      <c r="I393" s="31" t="n">
        <v>1</v>
      </c>
      <c r="J393" s="31" t="n">
        <v>5000</v>
      </c>
      <c r="K393" s="31" t="n">
        <v>443</v>
      </c>
      <c r="L393" s="31" t="n">
        <v>151</v>
      </c>
      <c r="M393" s="31" t="n">
        <v>175.5</v>
      </c>
      <c r="N393" s="31" t="n">
        <v>20.1</v>
      </c>
      <c r="O393" s="31" t="n">
        <v>400</v>
      </c>
      <c r="P393" s="31" t="inlineStr">
        <is>
          <t>国枝栄</t>
        </is>
      </c>
      <c r="Q393" s="31" t="inlineStr">
        <is>
          <t>1戦0勝</t>
        </is>
      </c>
      <c r="R393" s="31" t="n">
        <v>0</v>
      </c>
      <c r="S393" s="31" t="n">
        <v>0</v>
      </c>
      <c r="T393" s="31" t="n">
        <v>0</v>
      </c>
      <c r="U393" s="31" t="n">
        <v>0</v>
      </c>
      <c r="V393" s="31" t="n">
        <v>0</v>
      </c>
      <c r="W393" s="31" t="n">
        <v>0</v>
      </c>
      <c r="X393" s="31" t="inlineStr">
        <is>
          <t>--&gt;</t>
        </is>
      </c>
      <c r="Y393" s="31" t="n">
        <v>2</v>
      </c>
      <c r="Z393" s="31" t="inlineStr">
        <is>
          <t>牡・420kg+</t>
        </is>
      </c>
    </row>
    <row r="394">
      <c r="A394" s="31" t="n">
        <v>2024</v>
      </c>
      <c r="B394" s="31" t="n">
        <v>22</v>
      </c>
      <c r="C394" s="31" t="inlineStr">
        <is>
          <t>ランズエッジの23</t>
        </is>
      </c>
      <c r="D394" s="31" t="inlineStr">
        <is>
          <t>グラムエッジ (Glam Edge)</t>
        </is>
      </c>
      <c r="E394" s="31" t="inlineStr">
        <is>
          <t>ナダル</t>
        </is>
      </c>
      <c r="F394" s="31" t="inlineStr">
        <is>
          <t>牡</t>
        </is>
      </c>
      <c r="G394" s="31" t="n">
        <v>5</v>
      </c>
      <c r="H394" s="31" t="n">
        <v>17</v>
      </c>
      <c r="I394" s="31" t="n">
        <v>1</v>
      </c>
      <c r="J394" s="31" t="n">
        <v>4400</v>
      </c>
      <c r="K394" s="31" t="n">
        <v>461</v>
      </c>
      <c r="L394" s="31" t="n">
        <v>160.5</v>
      </c>
      <c r="M394" s="31" t="n">
        <v>174.5</v>
      </c>
      <c r="N394" s="31" t="n">
        <v>22.1</v>
      </c>
      <c r="O394" s="31" t="n">
        <v>400</v>
      </c>
      <c r="P394" s="31" t="inlineStr">
        <is>
          <t>手塚貴久</t>
        </is>
      </c>
      <c r="Q394" s="31" t="inlineStr">
        <is>
          <t>4戦0勝</t>
        </is>
      </c>
      <c r="R394" s="31" t="n">
        <v>0</v>
      </c>
      <c r="S394" s="31" t="n">
        <v>0</v>
      </c>
      <c r="T394" s="31" t="n">
        <v>0</v>
      </c>
      <c r="U394" s="31" t="n">
        <v>0</v>
      </c>
      <c r="V394" s="31" t="n">
        <v>0</v>
      </c>
      <c r="W394" s="31" t="n">
        <v>0</v>
      </c>
      <c r="X394" s="31" t="inlineStr">
        <is>
          <t>--&gt;</t>
        </is>
      </c>
      <c r="Y394" s="31" t="n">
        <v>2</v>
      </c>
      <c r="Z394" s="31" t="inlineStr">
        <is>
          <t>牡・420kg+</t>
        </is>
      </c>
    </row>
    <row r="395">
      <c r="A395" s="31" t="n">
        <v>2024</v>
      </c>
      <c r="B395" s="31" t="n">
        <v>23</v>
      </c>
      <c r="C395" s="31" t="inlineStr">
        <is>
          <t>ライフフォーセールの23</t>
        </is>
      </c>
      <c r="D395" s="31" t="inlineStr">
        <is>
          <t>オルネーロ (Hornero)</t>
        </is>
      </c>
      <c r="E395" s="31" t="inlineStr">
        <is>
          <t>サトノダイヤモンド</t>
        </is>
      </c>
      <c r="F395" s="31" t="inlineStr">
        <is>
          <t>牡</t>
        </is>
      </c>
      <c r="G395" s="31" t="n">
        <v>4</v>
      </c>
      <c r="H395" s="31" t="n">
        <v>15</v>
      </c>
      <c r="I395" s="31" t="n">
        <v>1</v>
      </c>
      <c r="J395" s="31" t="n">
        <v>5000</v>
      </c>
      <c r="K395" s="31" t="n">
        <v>466</v>
      </c>
      <c r="L395" s="31" t="n">
        <v>157.5</v>
      </c>
      <c r="M395" s="31" t="n">
        <v>177</v>
      </c>
      <c r="N395" s="31" t="n">
        <v>21.5</v>
      </c>
      <c r="O395" s="31" t="n">
        <v>400</v>
      </c>
      <c r="P395" s="31" t="inlineStr">
        <is>
          <t>宮田敬介</t>
        </is>
      </c>
      <c r="Q395" s="31" t="inlineStr">
        <is>
          <t>4戦2勝</t>
        </is>
      </c>
      <c r="R395" s="31" t="n">
        <v>2</v>
      </c>
      <c r="S395" s="31" t="n">
        <v>0</v>
      </c>
      <c r="T395" s="31" t="n">
        <v>3052</v>
      </c>
      <c r="U395" s="31" t="n">
        <v>0</v>
      </c>
      <c r="V395" s="31" t="n">
        <v>0.61</v>
      </c>
      <c r="W395" s="31" t="n">
        <v>0</v>
      </c>
      <c r="X395" s="31" t="inlineStr">
        <is>
          <t>26'クロッカスS(L)25'2歳新馬--&gt;</t>
        </is>
      </c>
      <c r="Y395" s="31" t="n">
        <v>2</v>
      </c>
      <c r="Z395" s="31" t="inlineStr">
        <is>
          <t>牡・420kg+</t>
        </is>
      </c>
    </row>
    <row r="396">
      <c r="A396" s="31" t="n">
        <v>2024</v>
      </c>
      <c r="B396" s="31" t="n">
        <v>24</v>
      </c>
      <c r="C396" s="31" t="inlineStr">
        <is>
          <t>ピースエンブレムの23</t>
        </is>
      </c>
      <c r="D396" s="31" t="inlineStr">
        <is>
          <t>ピュアエンブレム (Pure Emblem)</t>
        </is>
      </c>
      <c r="E396" s="31" t="inlineStr">
        <is>
          <t>サトノダイヤモンド</t>
        </is>
      </c>
      <c r="F396" s="31" t="inlineStr">
        <is>
          <t>メス</t>
        </is>
      </c>
      <c r="G396" s="31" t="n">
        <v>3</v>
      </c>
      <c r="H396" s="31" t="n">
        <v>17</v>
      </c>
      <c r="I396" s="31" t="n">
        <v>1</v>
      </c>
      <c r="J396" s="31" t="n">
        <v>1800</v>
      </c>
      <c r="K396" s="31" t="n">
        <v>453</v>
      </c>
      <c r="L396" s="31" t="n">
        <v>160.5</v>
      </c>
      <c r="M396" s="31" t="n">
        <v>174</v>
      </c>
      <c r="N396" s="31" t="n">
        <v>20.9</v>
      </c>
      <c r="O396" s="31" t="n">
        <v>400</v>
      </c>
      <c r="P396" s="31" t="inlineStr">
        <is>
          <t>小手川準</t>
        </is>
      </c>
      <c r="Q396" s="31" t="inlineStr">
        <is>
          <t>4戦1勝</t>
        </is>
      </c>
      <c r="R396" s="31" t="n">
        <v>1</v>
      </c>
      <c r="S396" s="31" t="n">
        <v>0</v>
      </c>
      <c r="T396" s="31" t="n">
        <v>782</v>
      </c>
      <c r="U396" s="31" t="n">
        <v>0</v>
      </c>
      <c r="V396" s="31" t="n">
        <v>0.43</v>
      </c>
      <c r="W396" s="31" t="n">
        <v>0</v>
      </c>
      <c r="X396" s="31" t="inlineStr">
        <is>
          <t>26'3歳未勝利--&gt;</t>
        </is>
      </c>
      <c r="Y396" s="31" t="n">
        <v>1</v>
      </c>
      <c r="Z396" s="31" t="inlineStr">
        <is>
          <t>420kg+</t>
        </is>
      </c>
    </row>
    <row r="397">
      <c r="A397" s="31" t="n">
        <v>2024</v>
      </c>
      <c r="B397" s="31" t="n">
        <v>25</v>
      </c>
      <c r="C397" s="31" t="inlineStr">
        <is>
          <t>シャンブルドットの23</t>
        </is>
      </c>
      <c r="D397" s="31" t="inlineStr">
        <is>
          <t>エクラドット (Eclat Dot)</t>
        </is>
      </c>
      <c r="E397" s="31" t="inlineStr">
        <is>
          <t>アルアイン</t>
        </is>
      </c>
      <c r="F397" s="31" t="inlineStr">
        <is>
          <t>牡</t>
        </is>
      </c>
      <c r="G397" s="31" t="n">
        <v>2</v>
      </c>
      <c r="H397" s="31" t="n">
        <v>7</v>
      </c>
      <c r="I397" s="31" t="n">
        <v>1</v>
      </c>
      <c r="J397" s="31" t="n">
        <v>2400</v>
      </c>
      <c r="K397" s="31" t="n">
        <v>472</v>
      </c>
      <c r="L397" s="31" t="n">
        <v>157.5</v>
      </c>
      <c r="M397" s="31" t="n">
        <v>174.5</v>
      </c>
      <c r="N397" s="31" t="n">
        <v>22</v>
      </c>
      <c r="O397" s="31" t="n">
        <v>400</v>
      </c>
      <c r="P397" s="31" t="inlineStr">
        <is>
          <t>西田雄一郎</t>
        </is>
      </c>
      <c r="Q397" s="31" t="inlineStr">
        <is>
          <t>5戦0勝</t>
        </is>
      </c>
      <c r="R397" s="31" t="n">
        <v>0</v>
      </c>
      <c r="S397" s="31" t="n">
        <v>0</v>
      </c>
      <c r="T397" s="31" t="n">
        <v>146</v>
      </c>
      <c r="U397" s="31" t="n">
        <v>0</v>
      </c>
      <c r="V397" s="31" t="n">
        <v>0.06</v>
      </c>
      <c r="W397" s="31" t="n">
        <v>0</v>
      </c>
      <c r="X397" s="31" t="inlineStr">
        <is>
          <t>--&gt;</t>
        </is>
      </c>
      <c r="Y397" s="31" t="n">
        <v>2</v>
      </c>
      <c r="Z397" s="31" t="inlineStr">
        <is>
          <t>牡・420kg+</t>
        </is>
      </c>
    </row>
    <row r="398">
      <c r="A398" s="31" t="n">
        <v>2024</v>
      </c>
      <c r="B398" s="31" t="n">
        <v>26</v>
      </c>
      <c r="C398" s="31" t="inlineStr">
        <is>
          <t>ピンクアリエスの23</t>
        </is>
      </c>
      <c r="D398" s="31" t="inlineStr">
        <is>
          <t>ピンクアリエスの2023</t>
        </is>
      </c>
      <c r="E398" s="31" t="inlineStr">
        <is>
          <t>アルアイン</t>
        </is>
      </c>
      <c r="F398" s="31" t="inlineStr">
        <is>
          <t>牡</t>
        </is>
      </c>
      <c r="G398" s="31" t="n">
        <v>5</v>
      </c>
      <c r="H398" s="31" t="n">
        <v>16</v>
      </c>
      <c r="I398" s="31" t="n">
        <v>1</v>
      </c>
      <c r="J398" s="31" t="n">
        <v>2800</v>
      </c>
      <c r="K398" s="31" t="n">
        <v>417</v>
      </c>
      <c r="L398" s="31" t="n">
        <v>152.5</v>
      </c>
      <c r="M398" s="31" t="n">
        <v>170</v>
      </c>
      <c r="N398" s="31" t="n">
        <v>20.4</v>
      </c>
      <c r="O398" s="31" t="n">
        <v>400</v>
      </c>
      <c r="P398" s="31" t="inlineStr">
        <is>
          <t>稲垣幸雄</t>
        </is>
      </c>
      <c r="Q398" s="31" t="inlineStr">
        <is>
          <t>0戦0勝</t>
        </is>
      </c>
      <c r="R398" s="31" t="n">
        <v>0</v>
      </c>
      <c r="S398" s="31" t="n">
        <v>0</v>
      </c>
      <c r="T398" s="31" t="n">
        <v>0</v>
      </c>
      <c r="U398" s="31" t="n">
        <v>0</v>
      </c>
      <c r="V398" s="31" t="n">
        <v>0</v>
      </c>
      <c r="W398" s="31" t="n">
        <v>0</v>
      </c>
      <c r="X398" s="31" t="inlineStr">
        <is>
          <t>--&gt;</t>
        </is>
      </c>
      <c r="Y398" s="31" t="n">
        <v>2</v>
      </c>
      <c r="Z398" s="31" t="inlineStr">
        <is>
          <t>牡・価格帯</t>
        </is>
      </c>
    </row>
    <row r="399">
      <c r="A399" s="31" t="n">
        <v>2024</v>
      </c>
      <c r="B399" s="31" t="n">
        <v>27</v>
      </c>
      <c r="C399" s="31" t="inlineStr">
        <is>
          <t>セレナズヴォイスの23</t>
        </is>
      </c>
      <c r="D399" s="31" t="inlineStr">
        <is>
          <t>サイモフェーン (Cymophane)</t>
        </is>
      </c>
      <c r="E399" s="31" t="inlineStr">
        <is>
          <t>クリソベリル</t>
        </is>
      </c>
      <c r="F399" s="31" t="inlineStr">
        <is>
          <t>牡</t>
        </is>
      </c>
      <c r="G399" s="31" t="n">
        <v>1</v>
      </c>
      <c r="H399" s="31" t="n">
        <v>6</v>
      </c>
      <c r="I399" s="31" t="n">
        <v>1</v>
      </c>
      <c r="J399" s="31" t="n">
        <v>3200</v>
      </c>
      <c r="K399" s="31" t="n">
        <v>470</v>
      </c>
      <c r="L399" s="31" t="n">
        <v>158</v>
      </c>
      <c r="M399" s="31" t="n">
        <v>174</v>
      </c>
      <c r="N399" s="31" t="n">
        <v>20.9</v>
      </c>
      <c r="O399" s="31" t="n">
        <v>400</v>
      </c>
      <c r="P399" s="31" t="inlineStr">
        <is>
          <t>高木登</t>
        </is>
      </c>
      <c r="Q399" s="31" t="inlineStr">
        <is>
          <t>6戦1勝</t>
        </is>
      </c>
      <c r="R399" s="31" t="n">
        <v>1</v>
      </c>
      <c r="S399" s="31" t="n">
        <v>0</v>
      </c>
      <c r="T399" s="31" t="n">
        <v>1390</v>
      </c>
      <c r="U399" s="31" t="n">
        <v>0</v>
      </c>
      <c r="V399" s="31" t="n">
        <v>0.43</v>
      </c>
      <c r="W399" s="31" t="n">
        <v>0</v>
      </c>
      <c r="X399" s="31" t="inlineStr">
        <is>
          <t>26'3歳未勝利--&gt;</t>
        </is>
      </c>
      <c r="Y399" s="31" t="n">
        <v>3</v>
      </c>
      <c r="Z399" s="31" t="inlineStr">
        <is>
          <t>牡・価格帯・420kg+</t>
        </is>
      </c>
    </row>
    <row r="400">
      <c r="A400" s="31" t="n">
        <v>2024</v>
      </c>
      <c r="B400" s="31" t="n">
        <v>28</v>
      </c>
      <c r="C400" s="31" t="inlineStr">
        <is>
          <t>カイカヨソウの23</t>
        </is>
      </c>
      <c r="D400" s="31" t="inlineStr">
        <is>
          <t>ペタルズダンス (Petals Dance)</t>
        </is>
      </c>
      <c r="E400" s="31" t="inlineStr">
        <is>
          <t>クリソベリル</t>
        </is>
      </c>
      <c r="F400" s="31" t="inlineStr">
        <is>
          <t>メス</t>
        </is>
      </c>
      <c r="G400" s="31" t="n">
        <v>4</v>
      </c>
      <c r="H400" s="31" t="n">
        <v>13</v>
      </c>
      <c r="I400" s="31" t="n">
        <v>1</v>
      </c>
      <c r="J400" s="31" t="n">
        <v>3000</v>
      </c>
      <c r="K400" s="31" t="n">
        <v>430</v>
      </c>
      <c r="L400" s="31" t="n">
        <v>154.5</v>
      </c>
      <c r="M400" s="31" t="n">
        <v>168</v>
      </c>
      <c r="N400" s="31" t="n">
        <v>20.2</v>
      </c>
      <c r="O400" s="31" t="n">
        <v>400</v>
      </c>
      <c r="P400" s="31" t="inlineStr">
        <is>
          <t>嘉藤貴行</t>
        </is>
      </c>
      <c r="Q400" s="31" t="inlineStr">
        <is>
          <t>3戦0勝</t>
        </is>
      </c>
      <c r="R400" s="31" t="n">
        <v>0</v>
      </c>
      <c r="S400" s="31" t="n">
        <v>0</v>
      </c>
      <c r="T400" s="31" t="n">
        <v>59</v>
      </c>
      <c r="U400" s="31" t="n">
        <v>0</v>
      </c>
      <c r="V400" s="31" t="n">
        <v>0.02</v>
      </c>
      <c r="W400" s="31" t="n">
        <v>0</v>
      </c>
      <c r="X400" s="31" t="inlineStr">
        <is>
          <t>--&gt;</t>
        </is>
      </c>
      <c r="Y400" s="31" t="n">
        <v>2</v>
      </c>
      <c r="Z400" s="31" t="inlineStr">
        <is>
          <t>価格帯・420kg+</t>
        </is>
      </c>
    </row>
    <row r="401">
      <c r="A401" s="31" t="n">
        <v>2024</v>
      </c>
      <c r="B401" s="31" t="n">
        <v>29</v>
      </c>
      <c r="C401" s="31" t="inlineStr">
        <is>
          <t>ランウェイデビューの23</t>
        </is>
      </c>
      <c r="D401" s="31" t="inlineStr">
        <is>
          <t>ランウェイミューズ (Runway Muse)</t>
        </is>
      </c>
      <c r="E401" s="31" t="inlineStr">
        <is>
          <t>シルバーステート</t>
        </is>
      </c>
      <c r="F401" s="31" t="inlineStr">
        <is>
          <t>メス</t>
        </is>
      </c>
      <c r="G401" s="31" t="n">
        <v>3</v>
      </c>
      <c r="H401" s="31" t="n">
        <v>8</v>
      </c>
      <c r="I401" s="31" t="n">
        <v>1</v>
      </c>
      <c r="J401" s="31" t="n">
        <v>2400</v>
      </c>
      <c r="K401" s="31" t="n">
        <v>408</v>
      </c>
      <c r="L401" s="31" t="n">
        <v>154</v>
      </c>
      <c r="M401" s="31" t="n">
        <v>171</v>
      </c>
      <c r="N401" s="31" t="n">
        <v>18.8</v>
      </c>
      <c r="O401" s="31" t="n">
        <v>400</v>
      </c>
      <c r="P401" s="31" t="inlineStr">
        <is>
          <t>竹内正洋</t>
        </is>
      </c>
      <c r="Q401" s="31" t="inlineStr">
        <is>
          <t>5戦0勝</t>
        </is>
      </c>
      <c r="R401" s="31" t="n">
        <v>0</v>
      </c>
      <c r="S401" s="31" t="n">
        <v>0</v>
      </c>
      <c r="T401" s="31" t="n">
        <v>595</v>
      </c>
      <c r="U401" s="31" t="n">
        <v>0</v>
      </c>
      <c r="V401" s="31" t="n">
        <v>0.25</v>
      </c>
      <c r="W401" s="31" t="n">
        <v>0</v>
      </c>
      <c r="X401" s="31" t="inlineStr">
        <is>
          <t>--&gt;</t>
        </is>
      </c>
      <c r="Y401" s="31" t="n">
        <v>0</v>
      </c>
      <c r="Z401" s="31" t="inlineStr"/>
    </row>
    <row r="402">
      <c r="A402" s="31" t="n">
        <v>2024</v>
      </c>
      <c r="B402" s="31" t="n">
        <v>30</v>
      </c>
      <c r="C402" s="31" t="inlineStr">
        <is>
          <t>ウルクラフトの23</t>
        </is>
      </c>
      <c r="D402" s="31" t="inlineStr">
        <is>
          <t>エーデルクラフト (Edel Kraft)</t>
        </is>
      </c>
      <c r="E402" s="31" t="inlineStr">
        <is>
          <t>ニューイヤーズデイ</t>
        </is>
      </c>
      <c r="F402" s="31" t="inlineStr">
        <is>
          <t>牡</t>
        </is>
      </c>
      <c r="G402" s="31" t="n">
        <v>4</v>
      </c>
      <c r="H402" s="31" t="n">
        <v>7</v>
      </c>
      <c r="I402" s="31" t="n">
        <v>1</v>
      </c>
      <c r="J402" s="31" t="n">
        <v>2400</v>
      </c>
      <c r="K402" s="31" t="n">
        <v>409</v>
      </c>
      <c r="L402" s="31" t="n">
        <v>147.5</v>
      </c>
      <c r="M402" s="31" t="n">
        <v>168</v>
      </c>
      <c r="N402" s="31" t="n">
        <v>20.2</v>
      </c>
      <c r="O402" s="31" t="n">
        <v>400</v>
      </c>
      <c r="P402" s="31" t="inlineStr">
        <is>
          <t>辻哲英</t>
        </is>
      </c>
      <c r="Q402" s="31" t="inlineStr">
        <is>
          <t>2戦0勝</t>
        </is>
      </c>
      <c r="R402" s="31" t="n">
        <v>0</v>
      </c>
      <c r="S402" s="31" t="n">
        <v>0</v>
      </c>
      <c r="T402" s="31" t="n">
        <v>0</v>
      </c>
      <c r="U402" s="31" t="n">
        <v>0</v>
      </c>
      <c r="V402" s="31" t="n">
        <v>0</v>
      </c>
      <c r="W402" s="31" t="n">
        <v>0</v>
      </c>
      <c r="X402" s="31" t="inlineStr">
        <is>
          <t>--&gt;</t>
        </is>
      </c>
      <c r="Y402" s="31" t="n">
        <v>1</v>
      </c>
      <c r="Z402" s="31" t="inlineStr">
        <is>
          <t>牡</t>
        </is>
      </c>
    </row>
    <row r="403">
      <c r="A403" s="31" t="n">
        <v>2024</v>
      </c>
      <c r="B403" s="31" t="n">
        <v>31</v>
      </c>
      <c r="C403" s="31" t="inlineStr">
        <is>
          <t>エンジェルフォールの23</t>
        </is>
      </c>
      <c r="D403" s="31" t="inlineStr">
        <is>
          <t>ガヴァルニー (Gavarnie)</t>
        </is>
      </c>
      <c r="E403" s="31" t="inlineStr">
        <is>
          <t>モーリス</t>
        </is>
      </c>
      <c r="F403" s="31" t="inlineStr">
        <is>
          <t>牡</t>
        </is>
      </c>
      <c r="G403" s="31" t="n">
        <v>4</v>
      </c>
      <c r="H403" s="31" t="n">
        <v>14</v>
      </c>
      <c r="I403" s="31" t="n">
        <v>1</v>
      </c>
      <c r="J403" s="31" t="n">
        <v>3200</v>
      </c>
      <c r="K403" s="31" t="n">
        <v>393</v>
      </c>
      <c r="L403" s="31" t="n">
        <v>151</v>
      </c>
      <c r="M403" s="31" t="n">
        <v>170</v>
      </c>
      <c r="N403" s="31" t="n">
        <v>19.5</v>
      </c>
      <c r="O403" s="31" t="n">
        <v>400</v>
      </c>
      <c r="P403" s="31" t="inlineStr">
        <is>
          <t>伊藤大士</t>
        </is>
      </c>
      <c r="Q403" s="31" t="inlineStr">
        <is>
          <t>3戦0勝</t>
        </is>
      </c>
      <c r="R403" s="31" t="n">
        <v>0</v>
      </c>
      <c r="S403" s="31" t="n">
        <v>0</v>
      </c>
      <c r="T403" s="31" t="n">
        <v>0</v>
      </c>
      <c r="U403" s="31" t="n">
        <v>37</v>
      </c>
      <c r="V403" s="31" t="n">
        <v>0.01</v>
      </c>
      <c r="W403" s="31" t="n">
        <v>0</v>
      </c>
      <c r="X403" s="31" t="inlineStr">
        <is>
          <t>--&gt;</t>
        </is>
      </c>
      <c r="Y403" s="31" t="n">
        <v>2</v>
      </c>
      <c r="Z403" s="31" t="inlineStr">
        <is>
          <t>牡・価格帯</t>
        </is>
      </c>
    </row>
    <row r="404">
      <c r="A404" s="31" t="n">
        <v>2024</v>
      </c>
      <c r="B404" s="31" t="n">
        <v>32</v>
      </c>
      <c r="C404" s="31" t="inlineStr">
        <is>
          <t>ポロンナルワの23</t>
        </is>
      </c>
      <c r="D404" s="31" t="inlineStr">
        <is>
          <t>ニルマーネル (Nil Mahanel)</t>
        </is>
      </c>
      <c r="E404" s="31" t="inlineStr">
        <is>
          <t>モーリス</t>
        </is>
      </c>
      <c r="F404" s="31" t="inlineStr">
        <is>
          <t>メス</t>
        </is>
      </c>
      <c r="G404" s="31" t="n">
        <v>2</v>
      </c>
      <c r="H404" s="31" t="n">
        <v>15</v>
      </c>
      <c r="I404" s="31" t="n">
        <v>1</v>
      </c>
      <c r="J404" s="31" t="n">
        <v>3600</v>
      </c>
      <c r="K404" s="31" t="n">
        <v>416</v>
      </c>
      <c r="L404" s="31" t="n">
        <v>149</v>
      </c>
      <c r="M404" s="31" t="n">
        <v>174</v>
      </c>
      <c r="N404" s="31" t="n">
        <v>18.5</v>
      </c>
      <c r="O404" s="31" t="n">
        <v>400</v>
      </c>
      <c r="P404" s="31" t="inlineStr">
        <is>
          <t>小島茂之</t>
        </is>
      </c>
      <c r="Q404" s="31" t="inlineStr">
        <is>
          <t>6戦1勝</t>
        </is>
      </c>
      <c r="R404" s="31" t="n">
        <v>1</v>
      </c>
      <c r="S404" s="31" t="n">
        <v>0</v>
      </c>
      <c r="T404" s="31" t="n">
        <v>1302</v>
      </c>
      <c r="U404" s="31" t="n">
        <v>0</v>
      </c>
      <c r="V404" s="31" t="n">
        <v>0.36</v>
      </c>
      <c r="W404" s="31" t="n">
        <v>0</v>
      </c>
      <c r="X404" s="31" t="inlineStr">
        <is>
          <t>25'2歳未勝利--&gt;</t>
        </is>
      </c>
      <c r="Y404" s="31" t="n">
        <v>1</v>
      </c>
      <c r="Z404" s="31" t="inlineStr">
        <is>
          <t>価格帯</t>
        </is>
      </c>
    </row>
    <row r="405">
      <c r="A405" s="31" t="n">
        <v>2024</v>
      </c>
      <c r="B405" s="31" t="n">
        <v>33</v>
      </c>
      <c r="C405" s="31" t="inlineStr">
        <is>
          <t>ヴィータアレグリアの23</t>
        </is>
      </c>
      <c r="D405" s="31" t="inlineStr">
        <is>
          <t>ジョイアミーア (Gioia Mia)</t>
        </is>
      </c>
      <c r="E405" s="31" t="inlineStr">
        <is>
          <t>モズアスコット</t>
        </is>
      </c>
      <c r="F405" s="31" t="inlineStr">
        <is>
          <t>メス</t>
        </is>
      </c>
      <c r="G405" s="31" t="n">
        <v>3</v>
      </c>
      <c r="H405" s="31" t="n">
        <v>12</v>
      </c>
      <c r="I405" s="31" t="n">
        <v>1</v>
      </c>
      <c r="J405" s="31" t="n">
        <v>2800</v>
      </c>
      <c r="K405" s="31" t="n">
        <v>432</v>
      </c>
      <c r="L405" s="31" t="n">
        <v>151.5</v>
      </c>
      <c r="M405" s="31" t="n">
        <v>171</v>
      </c>
      <c r="N405" s="31" t="n">
        <v>19.5</v>
      </c>
      <c r="O405" s="31" t="n">
        <v>400</v>
      </c>
      <c r="P405" s="31" t="inlineStr">
        <is>
          <t>高柳瑞樹</t>
        </is>
      </c>
      <c r="Q405" s="31" t="inlineStr">
        <is>
          <t>5戦0勝</t>
        </is>
      </c>
      <c r="R405" s="31" t="n">
        <v>0</v>
      </c>
      <c r="S405" s="31" t="n">
        <v>0</v>
      </c>
      <c r="T405" s="31" t="n">
        <v>349</v>
      </c>
      <c r="U405" s="31" t="n">
        <v>0</v>
      </c>
      <c r="V405" s="31" t="n">
        <v>0.12</v>
      </c>
      <c r="W405" s="31" t="n">
        <v>0</v>
      </c>
      <c r="X405" s="31" t="inlineStr">
        <is>
          <t>--&gt;</t>
        </is>
      </c>
      <c r="Y405" s="31" t="n">
        <v>2</v>
      </c>
      <c r="Z405" s="31" t="inlineStr">
        <is>
          <t>価格帯・420kg+</t>
        </is>
      </c>
    </row>
    <row r="406">
      <c r="A406" s="31" t="n">
        <v>2024</v>
      </c>
      <c r="B406" s="31" t="n">
        <v>34</v>
      </c>
      <c r="C406" s="31" t="inlineStr">
        <is>
          <t>アトミカオロの23</t>
        </is>
      </c>
      <c r="D406" s="31" t="inlineStr">
        <is>
          <t>レダアトミカ (Leda Atomica)</t>
        </is>
      </c>
      <c r="E406" s="31" t="inlineStr">
        <is>
          <t>リアルスティール</t>
        </is>
      </c>
      <c r="F406" s="31" t="inlineStr">
        <is>
          <t>メス</t>
        </is>
      </c>
      <c r="G406" s="31" t="n">
        <v>3</v>
      </c>
      <c r="H406" s="31" t="n">
        <v>9</v>
      </c>
      <c r="I406" s="31" t="n">
        <v>1</v>
      </c>
      <c r="J406" s="31" t="n">
        <v>3600</v>
      </c>
      <c r="K406" s="31" t="n">
        <v>444</v>
      </c>
      <c r="L406" s="31" t="n">
        <v>159</v>
      </c>
      <c r="M406" s="31" t="n">
        <v>176.5</v>
      </c>
      <c r="N406" s="31" t="n">
        <v>19.5</v>
      </c>
      <c r="O406" s="31" t="n">
        <v>400</v>
      </c>
      <c r="P406" s="31" t="inlineStr">
        <is>
          <t>上原佑紀</t>
        </is>
      </c>
      <c r="Q406" s="31" t="inlineStr">
        <is>
          <t>5戦1勝</t>
        </is>
      </c>
      <c r="R406" s="31" t="n">
        <v>1</v>
      </c>
      <c r="S406" s="31" t="n">
        <v>0</v>
      </c>
      <c r="T406" s="31" t="n">
        <v>1314</v>
      </c>
      <c r="U406" s="31" t="n">
        <v>0</v>
      </c>
      <c r="V406" s="31" t="n">
        <v>0.36</v>
      </c>
      <c r="W406" s="31" t="n">
        <v>0</v>
      </c>
      <c r="X406" s="31" t="inlineStr">
        <is>
          <t>26'3歳未勝利--&gt;</t>
        </is>
      </c>
      <c r="Y406" s="31" t="n">
        <v>2</v>
      </c>
      <c r="Z406" s="31" t="inlineStr">
        <is>
          <t>価格帯・420kg+</t>
        </is>
      </c>
    </row>
    <row r="407">
      <c r="A407" s="31" t="n">
        <v>2024</v>
      </c>
      <c r="B407" s="31" t="n">
        <v>35</v>
      </c>
      <c r="C407" s="31" t="inlineStr">
        <is>
          <t>リラヴァティの23</t>
        </is>
      </c>
      <c r="D407" s="31" t="inlineStr">
        <is>
          <t>シーギリヤロック (Sigiriya Rock)</t>
        </is>
      </c>
      <c r="E407" s="31" t="inlineStr">
        <is>
          <t>リオンディーズ</t>
        </is>
      </c>
      <c r="F407" s="31" t="inlineStr">
        <is>
          <t>牡</t>
        </is>
      </c>
      <c r="G407" s="31" t="n">
        <v>2</v>
      </c>
      <c r="H407" s="31" t="n">
        <v>12</v>
      </c>
      <c r="I407" s="31" t="n">
        <v>1</v>
      </c>
      <c r="J407" s="31" t="n">
        <v>5000</v>
      </c>
      <c r="K407" s="31" t="n">
        <v>440</v>
      </c>
      <c r="L407" s="31" t="n">
        <v>151</v>
      </c>
      <c r="M407" s="31" t="n">
        <v>174</v>
      </c>
      <c r="N407" s="31" t="n">
        <v>19.5</v>
      </c>
      <c r="O407" s="31" t="n">
        <v>400</v>
      </c>
      <c r="P407" s="31" t="inlineStr">
        <is>
          <t>田中博康</t>
        </is>
      </c>
      <c r="Q407" s="31" t="inlineStr">
        <is>
          <t>4戦1勝</t>
        </is>
      </c>
      <c r="R407" s="31" t="n">
        <v>1</v>
      </c>
      <c r="S407" s="31" t="n">
        <v>0</v>
      </c>
      <c r="T407" s="31" t="n">
        <v>1094</v>
      </c>
      <c r="U407" s="31" t="n">
        <v>0</v>
      </c>
      <c r="V407" s="31" t="n">
        <v>0.22</v>
      </c>
      <c r="W407" s="31" t="n">
        <v>0</v>
      </c>
      <c r="X407" s="31" t="inlineStr">
        <is>
          <t>26'3歳未勝利--&gt;</t>
        </is>
      </c>
      <c r="Y407" s="31" t="n">
        <v>2</v>
      </c>
      <c r="Z407" s="31" t="inlineStr">
        <is>
          <t>牡・420kg+</t>
        </is>
      </c>
    </row>
    <row r="408">
      <c r="A408" s="31" t="n">
        <v>2024</v>
      </c>
      <c r="B408" s="31" t="n">
        <v>36</v>
      </c>
      <c r="C408" s="31" t="inlineStr">
        <is>
          <t>エリスライトの23</t>
        </is>
      </c>
      <c r="D408" s="31" t="inlineStr">
        <is>
          <t>クレパスキュラー (Crepuscular)</t>
        </is>
      </c>
      <c r="E408" s="31" t="inlineStr">
        <is>
          <t>リオンディーズ</t>
        </is>
      </c>
      <c r="F408" s="31" t="inlineStr">
        <is>
          <t>牡</t>
        </is>
      </c>
      <c r="G408" s="31" t="n">
        <v>2</v>
      </c>
      <c r="H408" s="31" t="n">
        <v>8</v>
      </c>
      <c r="I408" s="31" t="n">
        <v>1</v>
      </c>
      <c r="J408" s="31" t="n">
        <v>4000</v>
      </c>
      <c r="K408" s="31" t="n">
        <v>440</v>
      </c>
      <c r="L408" s="31" t="n">
        <v>154</v>
      </c>
      <c r="M408" s="31" t="n">
        <v>176</v>
      </c>
      <c r="N408" s="31" t="n">
        <v>20.9</v>
      </c>
      <c r="O408" s="31" t="n">
        <v>400</v>
      </c>
      <c r="P408" s="31" t="inlineStr">
        <is>
          <t>栗田徹</t>
        </is>
      </c>
      <c r="Q408" s="31" t="inlineStr">
        <is>
          <t>5戦2勝</t>
        </is>
      </c>
      <c r="R408" s="31" t="n">
        <v>2</v>
      </c>
      <c r="S408" s="31" t="n">
        <v>0</v>
      </c>
      <c r="T408" s="31" t="n">
        <v>2684</v>
      </c>
      <c r="U408" s="31" t="n">
        <v>0</v>
      </c>
      <c r="V408" s="31" t="n">
        <v>0.67</v>
      </c>
      <c r="W408" s="31" t="n">
        <v>0</v>
      </c>
      <c r="X408" s="31" t="inlineStr">
        <is>
          <t>25'ひいらぎ賞(1勝クラス)25'2歳新馬--&gt;</t>
        </is>
      </c>
      <c r="Y408" s="31" t="n">
        <v>2</v>
      </c>
      <c r="Z408" s="31" t="inlineStr">
        <is>
          <t>牡・420kg+</t>
        </is>
      </c>
    </row>
    <row r="409">
      <c r="A409" s="31" t="n">
        <v>2024</v>
      </c>
      <c r="B409" s="31" t="n">
        <v>37</v>
      </c>
      <c r="C409" s="31" t="inlineStr">
        <is>
          <t>ブリガアルタの23</t>
        </is>
      </c>
      <c r="D409" s="31" t="inlineStr">
        <is>
          <t>ゾネブルーム (Zonnebloem)</t>
        </is>
      </c>
      <c r="E409" s="31" t="inlineStr">
        <is>
          <t>ヴァンゴッホ</t>
        </is>
      </c>
      <c r="F409" s="31" t="inlineStr">
        <is>
          <t>牡</t>
        </is>
      </c>
      <c r="G409" s="31" t="n">
        <v>3</v>
      </c>
      <c r="H409" s="31" t="n">
        <v>10</v>
      </c>
      <c r="I409" s="31" t="n">
        <v>1</v>
      </c>
      <c r="J409" s="31" t="n">
        <v>2400</v>
      </c>
      <c r="K409" s="31" t="n">
        <v>461</v>
      </c>
      <c r="L409" s="31" t="n">
        <v>158.5</v>
      </c>
      <c r="M409" s="31" t="n">
        <v>178</v>
      </c>
      <c r="N409" s="31" t="n">
        <v>20.5</v>
      </c>
      <c r="O409" s="31" t="n">
        <v>400</v>
      </c>
      <c r="P409" s="31" t="inlineStr">
        <is>
          <t>矢嶋大樹</t>
        </is>
      </c>
      <c r="Q409" s="31" t="inlineStr">
        <is>
          <t>5戦0勝</t>
        </is>
      </c>
      <c r="R409" s="31" t="n">
        <v>0</v>
      </c>
      <c r="S409" s="31" t="n">
        <v>0</v>
      </c>
      <c r="T409" s="31" t="n">
        <v>588</v>
      </c>
      <c r="U409" s="31" t="n">
        <v>0</v>
      </c>
      <c r="V409" s="31" t="n">
        <v>0.24</v>
      </c>
      <c r="W409" s="31" t="n">
        <v>0</v>
      </c>
      <c r="X409" s="31" t="inlineStr">
        <is>
          <t>--&gt;</t>
        </is>
      </c>
      <c r="Y409" s="31" t="n">
        <v>2</v>
      </c>
      <c r="Z409" s="31" t="inlineStr">
        <is>
          <t>牡・420kg+</t>
        </is>
      </c>
    </row>
    <row r="410">
      <c r="A410" s="31" t="n">
        <v>2024</v>
      </c>
      <c r="B410" s="31" t="n">
        <v>38</v>
      </c>
      <c r="C410" s="31" t="inlineStr">
        <is>
          <t>ローガンサファイアの23</t>
        </is>
      </c>
      <c r="D410" s="31" t="inlineStr">
        <is>
          <t>ラングロワブリッジ (Langlois Bridge)</t>
        </is>
      </c>
      <c r="E410" s="31" t="inlineStr">
        <is>
          <t>ヴァンゴッホ</t>
        </is>
      </c>
      <c r="F410" s="31" t="inlineStr">
        <is>
          <t>メス</t>
        </is>
      </c>
      <c r="G410" s="31" t="n">
        <v>3</v>
      </c>
      <c r="H410" s="31" t="n">
        <v>13</v>
      </c>
      <c r="I410" s="31" t="n">
        <v>1</v>
      </c>
      <c r="J410" s="31" t="n">
        <v>2400</v>
      </c>
      <c r="K410" s="31" t="n">
        <v>487</v>
      </c>
      <c r="L410" s="31" t="n">
        <v>158</v>
      </c>
      <c r="M410" s="31" t="n">
        <v>178.5</v>
      </c>
      <c r="N410" s="31" t="n">
        <v>20.2</v>
      </c>
      <c r="O410" s="31" t="n">
        <v>400</v>
      </c>
      <c r="P410" s="31" t="inlineStr">
        <is>
          <t>戸田博文</t>
        </is>
      </c>
      <c r="Q410" s="31" t="inlineStr">
        <is>
          <t>3戦0勝</t>
        </is>
      </c>
      <c r="R410" s="31" t="n">
        <v>0</v>
      </c>
      <c r="S410" s="31" t="n">
        <v>0</v>
      </c>
      <c r="T410" s="31" t="n">
        <v>0</v>
      </c>
      <c r="U410" s="31" t="n">
        <v>0</v>
      </c>
      <c r="V410" s="31" t="n">
        <v>0</v>
      </c>
      <c r="W410" s="31" t="n">
        <v>0</v>
      </c>
      <c r="X410" s="31" t="inlineStr">
        <is>
          <t>--&gt;</t>
        </is>
      </c>
      <c r="Y410" s="31" t="n">
        <v>1</v>
      </c>
      <c r="Z410" s="31" t="inlineStr">
        <is>
          <t>420kg+</t>
        </is>
      </c>
    </row>
    <row r="411">
      <c r="A411" s="31" t="n">
        <v>2024</v>
      </c>
      <c r="B411" s="31" t="n">
        <v>39</v>
      </c>
      <c r="C411" s="31" t="inlineStr">
        <is>
          <t>メリートの23</t>
        </is>
      </c>
      <c r="D411" s="31" t="inlineStr">
        <is>
          <t>パッセージピーク (Passage Peak)</t>
        </is>
      </c>
      <c r="E411" s="31" t="inlineStr">
        <is>
          <t>アドマイヤマーズ</t>
        </is>
      </c>
      <c r="F411" s="31" t="inlineStr">
        <is>
          <t>牡</t>
        </is>
      </c>
      <c r="G411" s="31" t="n">
        <v>4</v>
      </c>
      <c r="H411" s="31" t="n">
        <v>17</v>
      </c>
      <c r="I411" s="31" t="n">
        <v>1</v>
      </c>
      <c r="J411" s="31" t="n">
        <v>4000</v>
      </c>
      <c r="K411" s="31" t="n">
        <v>460</v>
      </c>
      <c r="L411" s="31" t="n">
        <v>160.5</v>
      </c>
      <c r="M411" s="31" t="n">
        <v>177.5</v>
      </c>
      <c r="N411" s="31" t="n">
        <v>21</v>
      </c>
      <c r="O411" s="31" t="n">
        <v>400</v>
      </c>
      <c r="P411" s="31" t="inlineStr">
        <is>
          <t>田村康仁</t>
        </is>
      </c>
      <c r="Q411" s="31" t="inlineStr">
        <is>
          <t>6戦1勝</t>
        </is>
      </c>
      <c r="R411" s="31" t="n">
        <v>1</v>
      </c>
      <c r="S411" s="31" t="n">
        <v>0</v>
      </c>
      <c r="T411" s="31" t="n">
        <v>642</v>
      </c>
      <c r="U411" s="31" t="n">
        <v>0</v>
      </c>
      <c r="V411" s="31" t="n">
        <v>0.16</v>
      </c>
      <c r="W411" s="31" t="n">
        <v>0</v>
      </c>
      <c r="X411" s="31" t="inlineStr">
        <is>
          <t>25'2歳未勝利--&gt;</t>
        </is>
      </c>
      <c r="Y411" s="31" t="n">
        <v>2</v>
      </c>
      <c r="Z411" s="31" t="inlineStr">
        <is>
          <t>牡・420kg+</t>
        </is>
      </c>
    </row>
    <row r="412">
      <c r="A412" s="31" t="n">
        <v>2024</v>
      </c>
      <c r="B412" s="31" t="n">
        <v>40</v>
      </c>
      <c r="C412" s="31" t="inlineStr">
        <is>
          <t>ネオフレグランスの23</t>
        </is>
      </c>
      <c r="D412" s="31" t="inlineStr">
        <is>
          <t>ギルランダ (Ghirlanda)</t>
        </is>
      </c>
      <c r="E412" s="31" t="inlineStr">
        <is>
          <t>サトノクラウン</t>
        </is>
      </c>
      <c r="F412" s="31" t="inlineStr">
        <is>
          <t>メス</t>
        </is>
      </c>
      <c r="G412" s="31" t="n">
        <v>4</v>
      </c>
      <c r="H412" s="31" t="n">
        <v>9</v>
      </c>
      <c r="I412" s="31" t="n">
        <v>1</v>
      </c>
      <c r="J412" s="31" t="n">
        <v>2000</v>
      </c>
      <c r="K412" s="31" t="n">
        <v>384</v>
      </c>
      <c r="L412" s="31" t="n">
        <v>150.5</v>
      </c>
      <c r="M412" s="31" t="n">
        <v>162.5</v>
      </c>
      <c r="N412" s="31" t="n">
        <v>18.7</v>
      </c>
      <c r="O412" s="31" t="n">
        <v>400</v>
      </c>
      <c r="P412" s="31" t="inlineStr">
        <is>
          <t>中舘英二</t>
        </is>
      </c>
      <c r="Q412" s="31" t="inlineStr">
        <is>
          <t>5戦0勝</t>
        </is>
      </c>
      <c r="R412" s="31" t="n">
        <v>0</v>
      </c>
      <c r="S412" s="31" t="n">
        <v>0</v>
      </c>
      <c r="T412" s="31" t="n">
        <v>240</v>
      </c>
      <c r="U412" s="31" t="n">
        <v>0</v>
      </c>
      <c r="V412" s="31" t="n">
        <v>0.12</v>
      </c>
      <c r="W412" s="31" t="n">
        <v>0</v>
      </c>
      <c r="X412" s="31" t="inlineStr">
        <is>
          <t>--&gt;</t>
        </is>
      </c>
      <c r="Y412" s="31" t="n">
        <v>0</v>
      </c>
      <c r="Z412" s="31" t="inlineStr"/>
    </row>
    <row r="413">
      <c r="A413" s="31" t="n">
        <v>2024</v>
      </c>
      <c r="B413" s="31" t="n">
        <v>41</v>
      </c>
      <c r="C413" s="31" t="inlineStr">
        <is>
          <t>コンダクトレスの23</t>
        </is>
      </c>
      <c r="D413" s="31" t="inlineStr">
        <is>
          <t>ラヴィニアパーク (Ravinia Park)</t>
        </is>
      </c>
      <c r="E413" s="31" t="inlineStr">
        <is>
          <t>ハービンジャー</t>
        </is>
      </c>
      <c r="F413" s="31" t="inlineStr">
        <is>
          <t>牡</t>
        </is>
      </c>
      <c r="G413" s="31" t="n">
        <v>1</v>
      </c>
      <c r="H413" s="31" t="n">
        <v>8</v>
      </c>
      <c r="I413" s="31" t="n">
        <v>1</v>
      </c>
      <c r="J413" s="31" t="n">
        <v>4000</v>
      </c>
      <c r="K413" s="31" t="n">
        <v>447</v>
      </c>
      <c r="L413" s="31" t="n">
        <v>157.5</v>
      </c>
      <c r="M413" s="31" t="n">
        <v>171</v>
      </c>
      <c r="N413" s="31" t="n">
        <v>20</v>
      </c>
      <c r="O413" s="31" t="n">
        <v>400</v>
      </c>
      <c r="P413" s="31" t="inlineStr">
        <is>
          <t>萩原清</t>
        </is>
      </c>
      <c r="Q413" s="31" t="inlineStr">
        <is>
          <t>6戦1勝</t>
        </is>
      </c>
      <c r="R413" s="31" t="n">
        <v>0</v>
      </c>
      <c r="S413" s="31" t="n">
        <v>1</v>
      </c>
      <c r="T413" s="31" t="n">
        <v>0</v>
      </c>
      <c r="U413" s="31" t="n">
        <v>60</v>
      </c>
      <c r="V413" s="31" t="n">
        <v>0.01</v>
      </c>
      <c r="W413" s="31" t="n">
        <v>0</v>
      </c>
      <c r="X413" s="31" t="inlineStr">
        <is>
          <t>3歳ー7--&gt;</t>
        </is>
      </c>
      <c r="Y413" s="31" t="n">
        <v>2</v>
      </c>
      <c r="Z413" s="31" t="inlineStr">
        <is>
          <t>牡・420kg+</t>
        </is>
      </c>
    </row>
    <row r="414">
      <c r="A414" s="31" t="n">
        <v>2024</v>
      </c>
      <c r="B414" s="31" t="n">
        <v>42</v>
      </c>
      <c r="C414" s="31" t="inlineStr">
        <is>
          <t>デスティノアーラの23</t>
        </is>
      </c>
      <c r="D414" s="31" t="inlineStr">
        <is>
          <t>リベルタアーラ (Liberta Ala)</t>
        </is>
      </c>
      <c r="E414" s="31" t="inlineStr">
        <is>
          <t>ブリックスアンドモルタル</t>
        </is>
      </c>
      <c r="F414" s="31" t="inlineStr">
        <is>
          <t>メス</t>
        </is>
      </c>
      <c r="G414" s="31" t="n">
        <v>3</v>
      </c>
      <c r="H414" s="31" t="n">
        <v>5</v>
      </c>
      <c r="I414" s="31" t="n">
        <v>1</v>
      </c>
      <c r="J414" s="31" t="n">
        <v>2400</v>
      </c>
      <c r="K414" s="31" t="n">
        <v>391</v>
      </c>
      <c r="L414" s="31" t="n">
        <v>151</v>
      </c>
      <c r="M414" s="31" t="n">
        <v>168</v>
      </c>
      <c r="N414" s="31" t="n">
        <v>19.8</v>
      </c>
      <c r="O414" s="31" t="n">
        <v>400</v>
      </c>
      <c r="P414" s="31" t="inlineStr">
        <is>
          <t>深山雅史</t>
        </is>
      </c>
      <c r="Q414" s="31" t="inlineStr">
        <is>
          <t>4戦0勝</t>
        </is>
      </c>
      <c r="R414" s="31" t="n">
        <v>0</v>
      </c>
      <c r="S414" s="31" t="n">
        <v>0</v>
      </c>
      <c r="T414" s="31" t="n">
        <v>0</v>
      </c>
      <c r="U414" s="31" t="n">
        <v>0</v>
      </c>
      <c r="V414" s="31" t="n">
        <v>0</v>
      </c>
      <c r="W414" s="31" t="n">
        <v>0</v>
      </c>
      <c r="X414" s="31" t="inlineStr">
        <is>
          <t>--&gt;</t>
        </is>
      </c>
      <c r="Y414" s="31" t="n">
        <v>0</v>
      </c>
      <c r="Z414" s="31" t="inlineStr"/>
    </row>
    <row r="415">
      <c r="A415" s="31" t="n">
        <v>2024</v>
      </c>
      <c r="B415" s="31" t="n">
        <v>43</v>
      </c>
      <c r="C415" s="31" t="inlineStr">
        <is>
          <t>サバンナズチョイスの23</t>
        </is>
      </c>
      <c r="D415" s="31" t="inlineStr">
        <is>
          <t>ブレイロックホール (Buley Rockhole)</t>
        </is>
      </c>
      <c r="E415" s="31" t="inlineStr">
        <is>
          <t>ミッキーアイル</t>
        </is>
      </c>
      <c r="F415" s="31" t="inlineStr">
        <is>
          <t>牡</t>
        </is>
      </c>
      <c r="G415" s="31" t="n">
        <v>1</v>
      </c>
      <c r="H415" s="31" t="n">
        <v>16</v>
      </c>
      <c r="I415" s="31" t="n">
        <v>1</v>
      </c>
      <c r="J415" s="31" t="n">
        <v>3600</v>
      </c>
      <c r="K415" s="31" t="n">
        <v>453</v>
      </c>
      <c r="L415" s="31" t="n">
        <v>156</v>
      </c>
      <c r="M415" s="31" t="n">
        <v>180.5</v>
      </c>
      <c r="N415" s="31" t="n">
        <v>20.8</v>
      </c>
      <c r="O415" s="31" t="n">
        <v>400</v>
      </c>
      <c r="P415" s="31" t="inlineStr">
        <is>
          <t>武井亮</t>
        </is>
      </c>
      <c r="Q415" s="31" t="inlineStr">
        <is>
          <t>1戦0勝</t>
        </is>
      </c>
      <c r="R415" s="31" t="n">
        <v>0</v>
      </c>
      <c r="S415" s="31" t="n">
        <v>0</v>
      </c>
      <c r="T415" s="31" t="n">
        <v>75</v>
      </c>
      <c r="U415" s="31" t="n">
        <v>0</v>
      </c>
      <c r="V415" s="31" t="n">
        <v>0.02</v>
      </c>
      <c r="W415" s="31" t="n">
        <v>0</v>
      </c>
      <c r="X415" s="31" t="inlineStr">
        <is>
          <t>--&gt;</t>
        </is>
      </c>
      <c r="Y415" s="31" t="n">
        <v>3</v>
      </c>
      <c r="Z415" s="31" t="inlineStr">
        <is>
          <t>牡・価格帯・420kg+</t>
        </is>
      </c>
    </row>
    <row r="416">
      <c r="A416" s="31" t="n">
        <v>2024</v>
      </c>
      <c r="B416" s="31" t="n">
        <v>44</v>
      </c>
      <c r="C416" s="31" t="inlineStr">
        <is>
          <t>プラチナブロンドの23</t>
        </is>
      </c>
      <c r="D416" s="31" t="inlineStr">
        <is>
          <t>デイトナチャンプ (Daytona Champ)</t>
        </is>
      </c>
      <c r="E416" s="31" t="inlineStr">
        <is>
          <t>インディチャンプ</t>
        </is>
      </c>
      <c r="F416" s="31" t="inlineStr">
        <is>
          <t>牡</t>
        </is>
      </c>
      <c r="G416" s="31" t="n">
        <v>2</v>
      </c>
      <c r="H416" s="31" t="n">
        <v>12</v>
      </c>
      <c r="I416" s="31" t="n">
        <v>1</v>
      </c>
      <c r="J416" s="31" t="n">
        <v>3200</v>
      </c>
      <c r="K416" s="31" t="n">
        <v>438</v>
      </c>
      <c r="L416" s="31" t="n">
        <v>150</v>
      </c>
      <c r="M416" s="31" t="n">
        <v>173.5</v>
      </c>
      <c r="N416" s="31" t="n">
        <v>19.7</v>
      </c>
      <c r="O416" s="31" t="n">
        <v>400</v>
      </c>
      <c r="P416" s="31" t="inlineStr">
        <is>
          <t>加藤征弘</t>
        </is>
      </c>
      <c r="Q416" s="31" t="inlineStr">
        <is>
          <t>4戦2勝</t>
        </is>
      </c>
      <c r="R416" s="31" t="n">
        <v>2</v>
      </c>
      <c r="S416" s="31" t="n">
        <v>0</v>
      </c>
      <c r="T416" s="31" t="n">
        <v>1800</v>
      </c>
      <c r="U416" s="31" t="n">
        <v>0</v>
      </c>
      <c r="V416" s="31" t="n">
        <v>0.5600000000000001</v>
      </c>
      <c r="W416" s="31" t="n">
        <v>0</v>
      </c>
      <c r="X416" s="31" t="inlineStr">
        <is>
          <t>26'3歳以上1勝クラス26'3歳新馬--&gt;</t>
        </is>
      </c>
      <c r="Y416" s="31" t="n">
        <v>3</v>
      </c>
      <c r="Z416" s="31" t="inlineStr">
        <is>
          <t>牡・価格帯・420kg+</t>
        </is>
      </c>
    </row>
    <row r="417">
      <c r="A417" s="31" t="n">
        <v>2024</v>
      </c>
      <c r="B417" s="31" t="n">
        <v>45</v>
      </c>
      <c r="C417" s="31" t="inlineStr">
        <is>
          <t>ローズノーブルの23</t>
        </is>
      </c>
      <c r="D417" s="31" t="inlineStr">
        <is>
          <t>プリヴィマーク (Privy Mark)</t>
        </is>
      </c>
      <c r="E417" s="31" t="inlineStr">
        <is>
          <t>バゴ</t>
        </is>
      </c>
      <c r="F417" s="31" t="inlineStr">
        <is>
          <t>牡</t>
        </is>
      </c>
      <c r="G417" s="31" t="n">
        <v>3</v>
      </c>
      <c r="H417" s="31" t="n">
        <v>14</v>
      </c>
      <c r="I417" s="31" t="n">
        <v>1</v>
      </c>
      <c r="J417" s="31" t="n">
        <v>4000</v>
      </c>
      <c r="K417" s="31" t="n">
        <v>418</v>
      </c>
      <c r="L417" s="31" t="n">
        <v>151</v>
      </c>
      <c r="M417" s="31" t="n">
        <v>169.5</v>
      </c>
      <c r="N417" s="31" t="n">
        <v>20.1</v>
      </c>
      <c r="O417" s="31" t="n">
        <v>400</v>
      </c>
      <c r="P417" s="31" t="inlineStr">
        <is>
          <t>池上昌和</t>
        </is>
      </c>
      <c r="Q417" s="31" t="inlineStr">
        <is>
          <t>2戦0勝</t>
        </is>
      </c>
      <c r="R417" s="31" t="n">
        <v>0</v>
      </c>
      <c r="S417" s="31" t="n">
        <v>0</v>
      </c>
      <c r="T417" s="31" t="n">
        <v>0</v>
      </c>
      <c r="U417" s="31" t="n">
        <v>0</v>
      </c>
      <c r="V417" s="31" t="n">
        <v>0</v>
      </c>
      <c r="W417" s="31" t="n">
        <v>0</v>
      </c>
      <c r="X417" s="31" t="inlineStr">
        <is>
          <t>--&gt;</t>
        </is>
      </c>
      <c r="Y417" s="31" t="n">
        <v>1</v>
      </c>
      <c r="Z417" s="31" t="inlineStr">
        <is>
          <t>牡</t>
        </is>
      </c>
    </row>
    <row r="418">
      <c r="A418" s="31" t="n">
        <v>2024</v>
      </c>
      <c r="B418" s="31" t="n">
        <v>46</v>
      </c>
      <c r="C418" s="31" t="inlineStr">
        <is>
          <t>パドゥヴァルスの23</t>
        </is>
      </c>
      <c r="D418" s="31" t="inlineStr">
        <is>
          <t>バランソワール (Balancoire)</t>
        </is>
      </c>
      <c r="E418" s="31" t="inlineStr">
        <is>
          <t>ポエティックフレア</t>
        </is>
      </c>
      <c r="F418" s="31" t="inlineStr">
        <is>
          <t>メス</t>
        </is>
      </c>
      <c r="G418" s="31" t="n">
        <v>2</v>
      </c>
      <c r="H418" s="31" t="n">
        <v>6</v>
      </c>
      <c r="I418" s="31" t="n">
        <v>1</v>
      </c>
      <c r="J418" s="31" t="n">
        <v>2400</v>
      </c>
      <c r="K418" s="31" t="n">
        <v>415</v>
      </c>
      <c r="L418" s="31" t="n">
        <v>151.5</v>
      </c>
      <c r="M418" s="31" t="n">
        <v>169</v>
      </c>
      <c r="N418" s="31" t="n">
        <v>19.1</v>
      </c>
      <c r="O418" s="31" t="n">
        <v>400</v>
      </c>
      <c r="P418" s="31" t="inlineStr">
        <is>
          <t>矢野英一</t>
        </is>
      </c>
      <c r="Q418" s="31" t="inlineStr">
        <is>
          <t>7戦0勝</t>
        </is>
      </c>
      <c r="R418" s="31" t="n">
        <v>0</v>
      </c>
      <c r="S418" s="31" t="n">
        <v>0</v>
      </c>
      <c r="T418" s="31" t="n">
        <v>410</v>
      </c>
      <c r="U418" s="31" t="n">
        <v>0</v>
      </c>
      <c r="V418" s="31" t="n">
        <v>0.17</v>
      </c>
      <c r="W418" s="31" t="n">
        <v>0</v>
      </c>
      <c r="X418" s="31" t="inlineStr">
        <is>
          <t>--&gt;</t>
        </is>
      </c>
      <c r="Y418" s="31" t="n">
        <v>0</v>
      </c>
      <c r="Z418" s="31" t="inlineStr"/>
    </row>
    <row r="419">
      <c r="A419" s="31" t="n">
        <v>2024</v>
      </c>
      <c r="B419" s="31" t="n">
        <v>47</v>
      </c>
      <c r="C419" s="31" t="inlineStr">
        <is>
          <t>クロウエアの23</t>
        </is>
      </c>
      <c r="D419" s="31" t="inlineStr">
        <is>
          <t>エリオステモン (Eriostemon)</t>
        </is>
      </c>
      <c r="E419" s="31" t="inlineStr">
        <is>
          <t>ミスターメロディ</t>
        </is>
      </c>
      <c r="F419" s="31" t="inlineStr">
        <is>
          <t>メス</t>
        </is>
      </c>
      <c r="G419" s="31" t="n">
        <v>1</v>
      </c>
      <c r="H419" s="31" t="n">
        <v>7</v>
      </c>
      <c r="I419" s="31" t="n">
        <v>1</v>
      </c>
      <c r="J419" s="31" t="n">
        <v>1600</v>
      </c>
      <c r="K419" s="31" t="n">
        <v>405</v>
      </c>
      <c r="L419" s="31" t="n">
        <v>153</v>
      </c>
      <c r="M419" s="31" t="n">
        <v>175.5</v>
      </c>
      <c r="N419" s="31" t="n">
        <v>19</v>
      </c>
      <c r="O419" s="31" t="n">
        <v>400</v>
      </c>
      <c r="P419" s="31" t="inlineStr">
        <is>
          <t>新規開業</t>
        </is>
      </c>
      <c r="Q419" s="31" t="inlineStr">
        <is>
          <t>1戦0勝</t>
        </is>
      </c>
      <c r="R419" s="31" t="n">
        <v>0</v>
      </c>
      <c r="S419" s="31" t="n">
        <v>0</v>
      </c>
      <c r="T419" s="31" t="n">
        <v>0</v>
      </c>
      <c r="U419" s="31" t="n">
        <v>0</v>
      </c>
      <c r="V419" s="31" t="n">
        <v>0</v>
      </c>
      <c r="W419" s="31" t="n">
        <v>0</v>
      </c>
      <c r="X419" s="31" t="inlineStr">
        <is>
          <t>--&gt;</t>
        </is>
      </c>
      <c r="Y419" s="31" t="n">
        <v>0</v>
      </c>
      <c r="Z419" s="31" t="inlineStr"/>
    </row>
    <row r="420">
      <c r="A420" s="31" t="n">
        <v>2024</v>
      </c>
      <c r="B420" s="31" t="n">
        <v>48</v>
      </c>
      <c r="C420" s="31" t="inlineStr">
        <is>
          <t>ベルクワイアの23</t>
        </is>
      </c>
      <c r="D420" s="31" t="inlineStr">
        <is>
          <t>カリヨンアヴォン (Carillon a Vent)</t>
        </is>
      </c>
      <c r="E420" s="31" t="inlineStr">
        <is>
          <t>ルヴァンスレーヴ</t>
        </is>
      </c>
      <c r="F420" s="31" t="inlineStr">
        <is>
          <t>メス</t>
        </is>
      </c>
      <c r="G420" s="31" t="n">
        <v>2</v>
      </c>
      <c r="H420" s="31" t="n">
        <v>7</v>
      </c>
      <c r="I420" s="31" t="n">
        <v>1</v>
      </c>
      <c r="J420" s="31" t="n">
        <v>2800</v>
      </c>
      <c r="K420" s="31" t="n">
        <v>427</v>
      </c>
      <c r="L420" s="31" t="n">
        <v>153</v>
      </c>
      <c r="M420" s="31" t="n">
        <v>175.5</v>
      </c>
      <c r="N420" s="31" t="n">
        <v>20.1</v>
      </c>
      <c r="O420" s="31" t="n">
        <v>400</v>
      </c>
      <c r="P420" s="31" t="inlineStr">
        <is>
          <t>勢司和浩</t>
        </is>
      </c>
      <c r="Q420" s="31" t="inlineStr">
        <is>
          <t>4戦1勝</t>
        </is>
      </c>
      <c r="R420" s="31" t="n">
        <v>1</v>
      </c>
      <c r="S420" s="31" t="n">
        <v>0</v>
      </c>
      <c r="T420" s="31" t="n">
        <v>870</v>
      </c>
      <c r="U420" s="31" t="n">
        <v>0</v>
      </c>
      <c r="V420" s="31" t="n">
        <v>0.31</v>
      </c>
      <c r="W420" s="31" t="n">
        <v>0</v>
      </c>
      <c r="X420" s="31" t="inlineStr">
        <is>
          <t>25'2歳新馬--&gt;</t>
        </is>
      </c>
      <c r="Y420" s="31" t="n">
        <v>2</v>
      </c>
      <c r="Z420" s="31" t="inlineStr">
        <is>
          <t>価格帯・420kg+</t>
        </is>
      </c>
    </row>
    <row r="421">
      <c r="A421" s="31" t="n">
        <v>2024</v>
      </c>
      <c r="B421" s="31" t="n">
        <v>49</v>
      </c>
      <c r="C421" s="31" t="inlineStr">
        <is>
          <t>アップライトスピンの23</t>
        </is>
      </c>
      <c r="D421" s="31" t="inlineStr">
        <is>
          <t>ルーリングクラス (Ruling Class)</t>
        </is>
      </c>
      <c r="E421" s="31" t="inlineStr">
        <is>
          <t>ルーラーシップ</t>
        </is>
      </c>
      <c r="F421" s="31" t="inlineStr">
        <is>
          <t>牡</t>
        </is>
      </c>
      <c r="G421" s="31" t="n">
        <v>4</v>
      </c>
      <c r="H421" s="31" t="n">
        <v>7</v>
      </c>
      <c r="I421" s="31" t="n">
        <v>1</v>
      </c>
      <c r="J421" s="31" t="n">
        <v>3000</v>
      </c>
      <c r="K421" s="31" t="n">
        <v>423</v>
      </c>
      <c r="L421" s="31" t="n">
        <v>151</v>
      </c>
      <c r="M421" s="31" t="n">
        <v>168.5</v>
      </c>
      <c r="N421" s="31" t="n">
        <v>20.3</v>
      </c>
      <c r="O421" s="31" t="n">
        <v>400</v>
      </c>
      <c r="P421" s="31" t="inlineStr">
        <is>
          <t>森一誠</t>
        </is>
      </c>
      <c r="Q421" s="31" t="inlineStr">
        <is>
          <t>3戦1勝</t>
        </is>
      </c>
      <c r="R421" s="31" t="n">
        <v>1</v>
      </c>
      <c r="S421" s="31" t="n">
        <v>0</v>
      </c>
      <c r="T421" s="31" t="n">
        <v>830</v>
      </c>
      <c r="U421" s="31" t="n">
        <v>0</v>
      </c>
      <c r="V421" s="31" t="n">
        <v>0.28</v>
      </c>
      <c r="W421" s="31" t="n">
        <v>0</v>
      </c>
      <c r="X421" s="31" t="inlineStr">
        <is>
          <t>26'3歳未勝利--&gt;</t>
        </is>
      </c>
      <c r="Y421" s="31" t="n">
        <v>3</v>
      </c>
      <c r="Z421" s="31" t="inlineStr">
        <is>
          <t>牡・価格帯・420kg+</t>
        </is>
      </c>
    </row>
    <row r="422">
      <c r="A422" s="31" t="n">
        <v>2024</v>
      </c>
      <c r="B422" s="31" t="n">
        <v>50</v>
      </c>
      <c r="C422" s="31" t="inlineStr">
        <is>
          <t>オリエンタルステップの23</t>
        </is>
      </c>
      <c r="D422" s="31" t="inlineStr">
        <is>
          <t>ザーフィル (Zaafir)</t>
        </is>
      </c>
      <c r="E422" s="31" t="inlineStr">
        <is>
          <t>Ghaiyyath</t>
        </is>
      </c>
      <c r="F422" s="31" t="inlineStr">
        <is>
          <t>牡</t>
        </is>
      </c>
      <c r="G422" s="31" t="n">
        <v>2</v>
      </c>
      <c r="H422" s="31" t="n">
        <v>12</v>
      </c>
      <c r="I422" s="31" t="n">
        <v>1</v>
      </c>
      <c r="J422" s="31" t="n">
        <v>5000</v>
      </c>
      <c r="K422" s="31" t="n">
        <v>482</v>
      </c>
      <c r="L422" s="31" t="n">
        <v>159</v>
      </c>
      <c r="M422" s="31" t="n">
        <v>180</v>
      </c>
      <c r="N422" s="31" t="n">
        <v>21.9</v>
      </c>
      <c r="O422" s="31" t="n">
        <v>400</v>
      </c>
      <c r="P422" s="31" t="inlineStr">
        <is>
          <t>林徹</t>
        </is>
      </c>
      <c r="Q422" s="31" t="inlineStr">
        <is>
          <t>6戦2勝</t>
        </is>
      </c>
      <c r="R422" s="31" t="n">
        <v>2</v>
      </c>
      <c r="S422" s="31" t="n">
        <v>0</v>
      </c>
      <c r="T422" s="31" t="n">
        <v>2632</v>
      </c>
      <c r="U422" s="31" t="n">
        <v>0</v>
      </c>
      <c r="V422" s="31" t="n">
        <v>0.53</v>
      </c>
      <c r="W422" s="31" t="n">
        <v>0</v>
      </c>
      <c r="X422" s="31" t="inlineStr">
        <is>
          <t>26'3歳以上1勝クラス25'2歳新馬--&gt;</t>
        </is>
      </c>
      <c r="Y422" s="31" t="n">
        <v>2</v>
      </c>
      <c r="Z422" s="31" t="inlineStr">
        <is>
          <t>牡・420kg+</t>
        </is>
      </c>
    </row>
    <row r="423">
      <c r="A423" s="31" t="n">
        <v>2024</v>
      </c>
      <c r="B423" s="31" t="n">
        <v>51</v>
      </c>
      <c r="C423" s="31" t="inlineStr">
        <is>
          <t>トゥープレシャスの23</t>
        </is>
      </c>
      <c r="D423" s="31" t="inlineStr">
        <is>
          <t>ヒートエミッション (Heat Emission)</t>
        </is>
      </c>
      <c r="E423" s="31" t="inlineStr">
        <is>
          <t>Sottsass</t>
        </is>
      </c>
      <c r="F423" s="31" t="inlineStr">
        <is>
          <t>メス</t>
        </is>
      </c>
      <c r="G423" s="31" t="n">
        <v>1</v>
      </c>
      <c r="H423" s="31" t="n">
        <v>8</v>
      </c>
      <c r="I423" s="31" t="n">
        <v>1</v>
      </c>
      <c r="J423" s="31" t="n">
        <v>5000</v>
      </c>
      <c r="K423" s="31" t="n">
        <v>410</v>
      </c>
      <c r="L423" s="31" t="n">
        <v>156</v>
      </c>
      <c r="M423" s="31" t="n">
        <v>174</v>
      </c>
      <c r="N423" s="31" t="n">
        <v>19</v>
      </c>
      <c r="O423" s="31" t="n">
        <v>400</v>
      </c>
      <c r="P423" s="31" t="inlineStr">
        <is>
          <t>堀宣行</t>
        </is>
      </c>
      <c r="Q423" s="31" t="inlineStr">
        <is>
          <t>0戦0勝</t>
        </is>
      </c>
      <c r="R423" s="31" t="n">
        <v>0</v>
      </c>
      <c r="S423" s="31" t="n">
        <v>0</v>
      </c>
      <c r="T423" s="31" t="n">
        <v>0</v>
      </c>
      <c r="U423" s="31" t="n">
        <v>0</v>
      </c>
      <c r="V423" s="31" t="n">
        <v>0</v>
      </c>
      <c r="W423" s="31" t="n">
        <v>0</v>
      </c>
      <c r="X423" s="31" t="inlineStr">
        <is>
          <t>--&gt;</t>
        </is>
      </c>
      <c r="Y423" s="31" t="n">
        <v>0</v>
      </c>
      <c r="Z423" s="31" t="inlineStr"/>
    </row>
    <row r="424">
      <c r="A424" s="31" t="n">
        <v>2024</v>
      </c>
      <c r="B424" s="31" t="n">
        <v>52</v>
      </c>
      <c r="C424" s="31" t="inlineStr">
        <is>
          <t>フィルムフェストの23</t>
        </is>
      </c>
      <c r="D424" s="31" t="inlineStr">
        <is>
          <t>フリッカーフェスト (Flickerfest)</t>
        </is>
      </c>
      <c r="E424" s="31" t="inlineStr">
        <is>
          <t>キタサンブラック</t>
        </is>
      </c>
      <c r="F424" s="31" t="inlineStr">
        <is>
          <t>牡</t>
        </is>
      </c>
      <c r="G424" s="31" t="n">
        <v>3</v>
      </c>
      <c r="H424" s="31" t="n">
        <v>7</v>
      </c>
      <c r="I424" s="31" t="n">
        <v>1</v>
      </c>
      <c r="J424" s="31" t="n">
        <v>7000</v>
      </c>
      <c r="K424" s="31" t="n">
        <v>438</v>
      </c>
      <c r="L424" s="31" t="n">
        <v>155.5</v>
      </c>
      <c r="M424" s="31" t="n">
        <v>170</v>
      </c>
      <c r="N424" s="31" t="n">
        <v>20.4</v>
      </c>
      <c r="O424" s="31" t="n">
        <v>400</v>
      </c>
      <c r="P424" s="31" t="inlineStr">
        <is>
          <t>藤原英昭</t>
        </is>
      </c>
      <c r="Q424" s="31" t="inlineStr">
        <is>
          <t>0戦0勝</t>
        </is>
      </c>
      <c r="R424" s="31" t="n">
        <v>0</v>
      </c>
      <c r="S424" s="31" t="n">
        <v>0</v>
      </c>
      <c r="T424" s="31" t="n">
        <v>0</v>
      </c>
      <c r="U424" s="31" t="n">
        <v>0</v>
      </c>
      <c r="V424" s="31" t="n">
        <v>0</v>
      </c>
      <c r="W424" s="31" t="n">
        <v>0</v>
      </c>
      <c r="X424" s="31" t="inlineStr">
        <is>
          <t>--&gt;</t>
        </is>
      </c>
      <c r="Y424" s="31" t="n">
        <v>2</v>
      </c>
      <c r="Z424" s="31" t="inlineStr">
        <is>
          <t>牡・420kg+</t>
        </is>
      </c>
    </row>
    <row r="425">
      <c r="A425" s="31" t="n">
        <v>2024</v>
      </c>
      <c r="B425" s="31" t="n">
        <v>53</v>
      </c>
      <c r="C425" s="31" t="inlineStr">
        <is>
          <t>ムーンティアーズの23</t>
        </is>
      </c>
      <c r="D425" s="31" t="inlineStr">
        <is>
          <t>フォルストランキル (Force Tranquille)</t>
        </is>
      </c>
      <c r="E425" s="31" t="inlineStr">
        <is>
          <t>キタサンブラック</t>
        </is>
      </c>
      <c r="F425" s="31" t="inlineStr">
        <is>
          <t>メス</t>
        </is>
      </c>
      <c r="G425" s="31" t="n">
        <v>2</v>
      </c>
      <c r="H425" s="31" t="n">
        <v>5</v>
      </c>
      <c r="I425" s="31" t="n">
        <v>1</v>
      </c>
      <c r="J425" s="31" t="n">
        <v>4600</v>
      </c>
      <c r="K425" s="31" t="n">
        <v>419</v>
      </c>
      <c r="L425" s="31" t="n">
        <v>153.5</v>
      </c>
      <c r="M425" s="31" t="n">
        <v>175</v>
      </c>
      <c r="N425" s="31" t="n">
        <v>20.2</v>
      </c>
      <c r="O425" s="31" t="n">
        <v>400</v>
      </c>
      <c r="P425" s="31" t="inlineStr">
        <is>
          <t>池江泰寿</t>
        </is>
      </c>
      <c r="Q425" s="31" t="inlineStr">
        <is>
          <t>6戦0勝</t>
        </is>
      </c>
      <c r="R425" s="31" t="n">
        <v>0</v>
      </c>
      <c r="S425" s="31" t="n">
        <v>0</v>
      </c>
      <c r="T425" s="31" t="n">
        <v>240</v>
      </c>
      <c r="U425" s="31" t="n">
        <v>0</v>
      </c>
      <c r="V425" s="31" t="n">
        <v>0.05</v>
      </c>
      <c r="W425" s="31" t="n">
        <v>0</v>
      </c>
      <c r="X425" s="31" t="inlineStr">
        <is>
          <t>--&gt;</t>
        </is>
      </c>
      <c r="Y425" s="31" t="n">
        <v>0</v>
      </c>
      <c r="Z425" s="31" t="inlineStr"/>
    </row>
    <row r="426">
      <c r="A426" s="31" t="n">
        <v>2024</v>
      </c>
      <c r="B426" s="31" t="n">
        <v>54</v>
      </c>
      <c r="C426" s="31" t="inlineStr">
        <is>
          <t>レッチェバロックの23</t>
        </is>
      </c>
      <c r="D426" s="31" t="inlineStr">
        <is>
          <t>バロッカネーラ (Barocca Nera)</t>
        </is>
      </c>
      <c r="E426" s="31" t="inlineStr">
        <is>
          <t>キタサンブラック</t>
        </is>
      </c>
      <c r="F426" s="31" t="inlineStr">
        <is>
          <t>メス</t>
        </is>
      </c>
      <c r="G426" s="31" t="n">
        <v>3</v>
      </c>
      <c r="H426" s="31" t="n">
        <v>6</v>
      </c>
      <c r="I426" s="31" t="n">
        <v>1</v>
      </c>
      <c r="J426" s="31" t="n">
        <v>6000</v>
      </c>
      <c r="K426" s="31" t="n">
        <v>446</v>
      </c>
      <c r="L426" s="31" t="n">
        <v>154</v>
      </c>
      <c r="M426" s="31" t="n">
        <v>174</v>
      </c>
      <c r="N426" s="31" t="n">
        <v>19.8</v>
      </c>
      <c r="O426" s="31" t="n">
        <v>400</v>
      </c>
      <c r="P426" s="31" t="inlineStr">
        <is>
          <t>池添学</t>
        </is>
      </c>
      <c r="Q426" s="31" t="inlineStr">
        <is>
          <t>2戦0勝</t>
        </is>
      </c>
      <c r="R426" s="31" t="n">
        <v>0</v>
      </c>
      <c r="S426" s="31" t="n">
        <v>0</v>
      </c>
      <c r="T426" s="31" t="n">
        <v>150</v>
      </c>
      <c r="U426" s="31" t="n">
        <v>0</v>
      </c>
      <c r="V426" s="31" t="n">
        <v>0.03</v>
      </c>
      <c r="W426" s="31" t="n">
        <v>0</v>
      </c>
      <c r="X426" s="31" t="inlineStr">
        <is>
          <t>--&gt;</t>
        </is>
      </c>
      <c r="Y426" s="31" t="n">
        <v>1</v>
      </c>
      <c r="Z426" s="31" t="inlineStr">
        <is>
          <t>420kg+</t>
        </is>
      </c>
    </row>
    <row r="427">
      <c r="A427" s="31" t="n">
        <v>2024</v>
      </c>
      <c r="B427" s="31" t="n">
        <v>55</v>
      </c>
      <c r="C427" s="31" t="inlineStr">
        <is>
          <t>マジックアティテュードの23</t>
        </is>
      </c>
      <c r="D427" s="31" t="inlineStr">
        <is>
          <t>ラルヴァンダード (Larvandad)</t>
        </is>
      </c>
      <c r="E427" s="31" t="inlineStr">
        <is>
          <t>エピファネイア</t>
        </is>
      </c>
      <c r="F427" s="31" t="inlineStr">
        <is>
          <t>牡</t>
        </is>
      </c>
      <c r="G427" s="31" t="n">
        <v>2</v>
      </c>
      <c r="H427" s="31" t="n">
        <v>6</v>
      </c>
      <c r="I427" s="31" t="n">
        <v>1</v>
      </c>
      <c r="J427" s="31" t="n">
        <v>8000</v>
      </c>
      <c r="K427" s="31" t="n">
        <v>434</v>
      </c>
      <c r="L427" s="31" t="n">
        <v>150.5</v>
      </c>
      <c r="M427" s="31" t="n">
        <v>174</v>
      </c>
      <c r="N427" s="31" t="n">
        <v>19.9</v>
      </c>
      <c r="O427" s="31" t="n">
        <v>400</v>
      </c>
      <c r="P427" s="31" t="inlineStr">
        <is>
          <t>安田翔伍</t>
        </is>
      </c>
      <c r="Q427" s="31" t="inlineStr">
        <is>
          <t>3戦1勝</t>
        </is>
      </c>
      <c r="R427" s="31" t="n">
        <v>1</v>
      </c>
      <c r="S427" s="31" t="n">
        <v>0</v>
      </c>
      <c r="T427" s="31" t="n">
        <v>789</v>
      </c>
      <c r="U427" s="31" t="n">
        <v>0</v>
      </c>
      <c r="V427" s="31" t="n">
        <v>0.1</v>
      </c>
      <c r="W427" s="31" t="n">
        <v>0</v>
      </c>
      <c r="X427" s="31" t="inlineStr">
        <is>
          <t>26'3歳未勝利--&gt;</t>
        </is>
      </c>
      <c r="Y427" s="31" t="n">
        <v>2</v>
      </c>
      <c r="Z427" s="31" t="inlineStr">
        <is>
          <t>牡・420kg+</t>
        </is>
      </c>
    </row>
    <row r="428">
      <c r="A428" s="31" t="n">
        <v>2024</v>
      </c>
      <c r="B428" s="31" t="n">
        <v>56</v>
      </c>
      <c r="C428" s="31" t="inlineStr">
        <is>
          <t>シンハライトの23</t>
        </is>
      </c>
      <c r="D428" s="31" t="inlineStr">
        <is>
          <t>アランカール (Alankar)</t>
        </is>
      </c>
      <c r="E428" s="31" t="inlineStr">
        <is>
          <t>エピファネイア</t>
        </is>
      </c>
      <c r="F428" s="31" t="inlineStr">
        <is>
          <t>メス</t>
        </is>
      </c>
      <c r="G428" s="31" t="n">
        <v>2</v>
      </c>
      <c r="H428" s="31" t="n">
        <v>10</v>
      </c>
      <c r="I428" s="31" t="n">
        <v>1</v>
      </c>
      <c r="J428" s="31" t="n">
        <v>8000</v>
      </c>
      <c r="K428" s="31" t="n">
        <v>459</v>
      </c>
      <c r="L428" s="31" t="n">
        <v>155</v>
      </c>
      <c r="M428" s="31" t="n">
        <v>176</v>
      </c>
      <c r="N428" s="31" t="n">
        <v>20</v>
      </c>
      <c r="O428" s="31" t="n">
        <v>400</v>
      </c>
      <c r="P428" s="31" t="inlineStr">
        <is>
          <t>斉藤崇史</t>
        </is>
      </c>
      <c r="Q428" s="31" t="inlineStr">
        <is>
          <t>6戦2勝</t>
        </is>
      </c>
      <c r="R428" s="31" t="n">
        <v>2</v>
      </c>
      <c r="S428" s="31" t="n">
        <v>0</v>
      </c>
      <c r="T428" s="31" t="n">
        <v>5729</v>
      </c>
      <c r="U428" s="31" t="n">
        <v>0</v>
      </c>
      <c r="V428" s="31" t="n">
        <v>0.72</v>
      </c>
      <c r="W428" s="31" t="n">
        <v>0</v>
      </c>
      <c r="X428" s="31" t="inlineStr">
        <is>
          <t>25'野路菊S(OP)25'2歳新馬--&gt;</t>
        </is>
      </c>
      <c r="Y428" s="31" t="n">
        <v>1</v>
      </c>
      <c r="Z428" s="31" t="inlineStr">
        <is>
          <t>420kg+</t>
        </is>
      </c>
    </row>
    <row r="429">
      <c r="A429" s="31" t="n">
        <v>2024</v>
      </c>
      <c r="B429" s="31" t="n">
        <v>57</v>
      </c>
      <c r="C429" s="31" t="inlineStr">
        <is>
          <t>リスグラシューの23</t>
        </is>
      </c>
      <c r="D429" s="31" t="inlineStr">
        <is>
          <t>ジリアート (Gigliato)</t>
        </is>
      </c>
      <c r="E429" s="31" t="inlineStr">
        <is>
          <t>エピファネイア</t>
        </is>
      </c>
      <c r="F429" s="31" t="inlineStr">
        <is>
          <t>メス</t>
        </is>
      </c>
      <c r="G429" s="31" t="n">
        <v>4</v>
      </c>
      <c r="H429" s="31" t="n">
        <v>9</v>
      </c>
      <c r="I429" s="31" t="n">
        <v>1</v>
      </c>
      <c r="J429" s="31" t="n">
        <v>8000</v>
      </c>
      <c r="K429" s="31" t="n">
        <v>451</v>
      </c>
      <c r="L429" s="31" t="n">
        <v>151.5</v>
      </c>
      <c r="M429" s="31" t="n">
        <v>176</v>
      </c>
      <c r="N429" s="31" t="n">
        <v>20</v>
      </c>
      <c r="O429" s="31" t="n">
        <v>400</v>
      </c>
      <c r="P429" s="31" t="inlineStr">
        <is>
          <t>矢作芳人</t>
        </is>
      </c>
      <c r="Q429" s="31" t="inlineStr">
        <is>
          <t>5戦0勝</t>
        </is>
      </c>
      <c r="R429" s="31" t="n">
        <v>0</v>
      </c>
      <c r="S429" s="31" t="n">
        <v>0</v>
      </c>
      <c r="T429" s="31" t="n">
        <v>209</v>
      </c>
      <c r="U429" s="31" t="n">
        <v>0</v>
      </c>
      <c r="V429" s="31" t="n">
        <v>0.03</v>
      </c>
      <c r="W429" s="31" t="n">
        <v>0</v>
      </c>
      <c r="X429" s="31" t="inlineStr">
        <is>
          <t>--&gt;</t>
        </is>
      </c>
      <c r="Y429" s="31" t="n">
        <v>1</v>
      </c>
      <c r="Z429" s="31" t="inlineStr">
        <is>
          <t>420kg+</t>
        </is>
      </c>
    </row>
    <row r="430">
      <c r="A430" s="31" t="n">
        <v>2024</v>
      </c>
      <c r="B430" s="31" t="n">
        <v>58</v>
      </c>
      <c r="C430" s="31" t="inlineStr">
        <is>
          <t>サークリングⅡの23</t>
        </is>
      </c>
      <c r="D430" s="31" t="inlineStr">
        <is>
          <t>ビジュアライズ (Visualize)</t>
        </is>
      </c>
      <c r="E430" s="31" t="inlineStr">
        <is>
          <t>キズナ</t>
        </is>
      </c>
      <c r="F430" s="31" t="inlineStr">
        <is>
          <t>牡</t>
        </is>
      </c>
      <c r="G430" s="31" t="n">
        <v>3</v>
      </c>
      <c r="H430" s="31" t="n">
        <v>12</v>
      </c>
      <c r="I430" s="31" t="n">
        <v>1</v>
      </c>
      <c r="J430" s="31" t="n">
        <v>5600</v>
      </c>
      <c r="K430" s="31" t="n">
        <v>444</v>
      </c>
      <c r="L430" s="31" t="n">
        <v>153</v>
      </c>
      <c r="M430" s="31" t="n">
        <v>177</v>
      </c>
      <c r="N430" s="31" t="n">
        <v>20.8</v>
      </c>
      <c r="O430" s="31" t="n">
        <v>400</v>
      </c>
      <c r="P430" s="31" t="inlineStr">
        <is>
          <t>斉藤崇史</t>
        </is>
      </c>
      <c r="Q430" s="31" t="inlineStr">
        <is>
          <t>1戦0勝</t>
        </is>
      </c>
      <c r="R430" s="31" t="n">
        <v>0</v>
      </c>
      <c r="S430" s="31" t="n">
        <v>0</v>
      </c>
      <c r="T430" s="31" t="n">
        <v>0</v>
      </c>
      <c r="U430" s="31" t="n">
        <v>0</v>
      </c>
      <c r="V430" s="31" t="n">
        <v>0</v>
      </c>
      <c r="W430" s="31" t="n">
        <v>0</v>
      </c>
      <c r="X430" s="31" t="inlineStr">
        <is>
          <t>--&gt;</t>
        </is>
      </c>
      <c r="Y430" s="31" t="n">
        <v>2</v>
      </c>
      <c r="Z430" s="31" t="inlineStr">
        <is>
          <t>牡・420kg+</t>
        </is>
      </c>
    </row>
    <row r="431">
      <c r="A431" s="31" t="n">
        <v>2024</v>
      </c>
      <c r="B431" s="31" t="n">
        <v>59</v>
      </c>
      <c r="C431" s="31" t="inlineStr">
        <is>
          <t>マラコスタムブラダの23</t>
        </is>
      </c>
      <c r="D431" s="31" t="inlineStr">
        <is>
          <t>バルセシート (Valsecito)</t>
        </is>
      </c>
      <c r="E431" s="31" t="inlineStr">
        <is>
          <t>キズナ</t>
        </is>
      </c>
      <c r="F431" s="31" t="inlineStr">
        <is>
          <t>牡</t>
        </is>
      </c>
      <c r="G431" s="31" t="n">
        <v>4</v>
      </c>
      <c r="H431" s="31" t="n">
        <v>13</v>
      </c>
      <c r="I431" s="31" t="n">
        <v>1</v>
      </c>
      <c r="J431" s="31" t="n">
        <v>10000</v>
      </c>
      <c r="K431" s="31" t="n">
        <v>407</v>
      </c>
      <c r="L431" s="31" t="n">
        <v>151</v>
      </c>
      <c r="M431" s="31" t="n">
        <v>166.5</v>
      </c>
      <c r="N431" s="31" t="n">
        <v>20.1</v>
      </c>
      <c r="O431" s="31" t="n">
        <v>400</v>
      </c>
      <c r="P431" s="31" t="inlineStr">
        <is>
          <t>松下武士</t>
        </is>
      </c>
      <c r="Q431" s="31" t="inlineStr">
        <is>
          <t>7戦2勝</t>
        </is>
      </c>
      <c r="R431" s="31" t="n">
        <v>2</v>
      </c>
      <c r="S431" s="31" t="n">
        <v>0</v>
      </c>
      <c r="T431" s="31" t="n">
        <v>3527</v>
      </c>
      <c r="U431" s="31" t="n">
        <v>0</v>
      </c>
      <c r="V431" s="31" t="n">
        <v>0.35</v>
      </c>
      <c r="W431" s="31" t="n">
        <v>0</v>
      </c>
      <c r="X431" s="31" t="inlineStr">
        <is>
          <t>26'3歳以上1勝クラス25'2歳新馬--&gt;</t>
        </is>
      </c>
      <c r="Y431" s="31" t="n">
        <v>1</v>
      </c>
      <c r="Z431" s="31" t="inlineStr">
        <is>
          <t>牡</t>
        </is>
      </c>
    </row>
    <row r="432">
      <c r="A432" s="31" t="n">
        <v>2024</v>
      </c>
      <c r="B432" s="31" t="n">
        <v>60</v>
      </c>
      <c r="C432" s="31" t="inlineStr">
        <is>
          <t>クルミネイトの23</t>
        </is>
      </c>
      <c r="D432" s="31" t="inlineStr">
        <is>
          <t>アクロフェイズ (Acrophase)</t>
        </is>
      </c>
      <c r="E432" s="31" t="inlineStr">
        <is>
          <t>ロードカナロア</t>
        </is>
      </c>
      <c r="F432" s="31" t="inlineStr">
        <is>
          <t>牡</t>
        </is>
      </c>
      <c r="G432" s="31" t="n">
        <v>2</v>
      </c>
      <c r="H432" s="31" t="n">
        <v>7</v>
      </c>
      <c r="I432" s="31" t="n">
        <v>1</v>
      </c>
      <c r="J432" s="31" t="n">
        <v>5000</v>
      </c>
      <c r="K432" s="31" t="n">
        <v>437</v>
      </c>
      <c r="L432" s="31" t="n">
        <v>157.5</v>
      </c>
      <c r="M432" s="31" t="n">
        <v>172.5</v>
      </c>
      <c r="N432" s="31" t="n">
        <v>21.5</v>
      </c>
      <c r="O432" s="31" t="n">
        <v>400</v>
      </c>
      <c r="P432" s="31" t="inlineStr">
        <is>
          <t>奥村豊</t>
        </is>
      </c>
      <c r="Q432" s="31" t="inlineStr">
        <is>
          <t>6戦2勝</t>
        </is>
      </c>
      <c r="R432" s="31" t="n">
        <v>2</v>
      </c>
      <c r="S432" s="31" t="n">
        <v>0</v>
      </c>
      <c r="T432" s="31" t="n">
        <v>3987</v>
      </c>
      <c r="U432" s="31" t="n">
        <v>0</v>
      </c>
      <c r="V432" s="31" t="n">
        <v>0.8</v>
      </c>
      <c r="W432" s="31" t="n">
        <v>0</v>
      </c>
      <c r="X432" s="31" t="inlineStr">
        <is>
          <t>26'青島特別(1勝クラス)25'2歳未勝利--&gt;</t>
        </is>
      </c>
      <c r="Y432" s="31" t="n">
        <v>2</v>
      </c>
      <c r="Z432" s="31" t="inlineStr">
        <is>
          <t>牡・420kg+</t>
        </is>
      </c>
    </row>
    <row r="433">
      <c r="A433" s="31" t="n">
        <v>2024</v>
      </c>
      <c r="B433" s="31" t="n">
        <v>61</v>
      </c>
      <c r="C433" s="31" t="inlineStr">
        <is>
          <t>ココファンタジアの23</t>
        </is>
      </c>
      <c r="D433" s="31" t="inlineStr">
        <is>
          <t>コティノス (Kotinos)</t>
        </is>
      </c>
      <c r="E433" s="31" t="inlineStr">
        <is>
          <t>サートゥルナーリア</t>
        </is>
      </c>
      <c r="F433" s="31" t="inlineStr">
        <is>
          <t>牡</t>
        </is>
      </c>
      <c r="G433" s="31" t="n">
        <v>4</v>
      </c>
      <c r="H433" s="31" t="n">
        <v>10</v>
      </c>
      <c r="I433" s="31" t="n">
        <v>1</v>
      </c>
      <c r="J433" s="31" t="n">
        <v>5000</v>
      </c>
      <c r="K433" s="31" t="n">
        <v>433</v>
      </c>
      <c r="L433" s="31" t="n">
        <v>153.5</v>
      </c>
      <c r="M433" s="31" t="n">
        <v>169</v>
      </c>
      <c r="N433" s="31" t="n">
        <v>20.4</v>
      </c>
      <c r="O433" s="31" t="n">
        <v>400</v>
      </c>
      <c r="P433" s="31" t="inlineStr">
        <is>
          <t>須貝尚介</t>
        </is>
      </c>
      <c r="Q433" s="31" t="inlineStr">
        <is>
          <t>7戦0勝</t>
        </is>
      </c>
      <c r="R433" s="31" t="n">
        <v>0</v>
      </c>
      <c r="S433" s="31" t="n">
        <v>0</v>
      </c>
      <c r="T433" s="31" t="n">
        <v>350</v>
      </c>
      <c r="U433" s="31" t="n">
        <v>0</v>
      </c>
      <c r="V433" s="31" t="n">
        <v>0.07000000000000001</v>
      </c>
      <c r="W433" s="31" t="n">
        <v>0</v>
      </c>
      <c r="X433" s="31" t="inlineStr">
        <is>
          <t>--&gt;</t>
        </is>
      </c>
      <c r="Y433" s="31" t="n">
        <v>2</v>
      </c>
      <c r="Z433" s="31" t="inlineStr">
        <is>
          <t>牡・420kg+</t>
        </is>
      </c>
    </row>
    <row r="434">
      <c r="A434" s="31" t="n">
        <v>2024</v>
      </c>
      <c r="B434" s="31" t="n">
        <v>62</v>
      </c>
      <c r="C434" s="31" t="inlineStr">
        <is>
          <t>ミリッサの23</t>
        </is>
      </c>
      <c r="D434" s="31" t="inlineStr">
        <is>
          <t>セイロンブリーズ (Ceylon Breeze)</t>
        </is>
      </c>
      <c r="E434" s="31" t="inlineStr">
        <is>
          <t>サートゥルナーリア</t>
        </is>
      </c>
      <c r="F434" s="31" t="inlineStr">
        <is>
          <t>メス</t>
        </is>
      </c>
      <c r="G434" s="31" t="n">
        <v>3</v>
      </c>
      <c r="H434" s="31" t="n">
        <v>9</v>
      </c>
      <c r="I434" s="31" t="n">
        <v>1</v>
      </c>
      <c r="J434" s="31" t="n">
        <v>4000</v>
      </c>
      <c r="K434" s="31" t="n">
        <v>419</v>
      </c>
      <c r="L434" s="31" t="n">
        <v>155</v>
      </c>
      <c r="M434" s="31" t="n">
        <v>172.5</v>
      </c>
      <c r="N434" s="31" t="n">
        <v>19.7</v>
      </c>
      <c r="O434" s="31" t="n">
        <v>400</v>
      </c>
      <c r="P434" s="31" t="inlineStr">
        <is>
          <t>杉山晴紀</t>
        </is>
      </c>
      <c r="Q434" s="31" t="inlineStr">
        <is>
          <t>1戦0勝</t>
        </is>
      </c>
      <c r="R434" s="31" t="n">
        <v>0</v>
      </c>
      <c r="S434" s="31" t="n">
        <v>0</v>
      </c>
      <c r="T434" s="31" t="n">
        <v>0</v>
      </c>
      <c r="U434" s="31" t="n">
        <v>0</v>
      </c>
      <c r="V434" s="31" t="n">
        <v>0</v>
      </c>
      <c r="W434" s="31" t="n">
        <v>0</v>
      </c>
      <c r="X434" s="31" t="inlineStr">
        <is>
          <t>--&gt;</t>
        </is>
      </c>
      <c r="Y434" s="31" t="n">
        <v>0</v>
      </c>
      <c r="Z434" s="31" t="inlineStr"/>
    </row>
    <row r="435">
      <c r="A435" s="31" t="n">
        <v>2024</v>
      </c>
      <c r="B435" s="31" t="n">
        <v>63</v>
      </c>
      <c r="C435" s="31" t="inlineStr">
        <is>
          <t>リカビトスの23</t>
        </is>
      </c>
      <c r="D435" s="31" t="inlineStr">
        <is>
          <t>パナテナイア (Panathenaea)</t>
        </is>
      </c>
      <c r="E435" s="31" t="inlineStr">
        <is>
          <t>サートゥルナーリア</t>
        </is>
      </c>
      <c r="F435" s="31" t="inlineStr">
        <is>
          <t>メス</t>
        </is>
      </c>
      <c r="G435" s="31" t="n">
        <v>3</v>
      </c>
      <c r="H435" s="31" t="n">
        <v>9</v>
      </c>
      <c r="I435" s="31" t="n">
        <v>1</v>
      </c>
      <c r="J435" s="31" t="n">
        <v>4000</v>
      </c>
      <c r="K435" s="31" t="n">
        <v>439</v>
      </c>
      <c r="L435" s="31" t="n">
        <v>153</v>
      </c>
      <c r="M435" s="31" t="n">
        <v>179.5</v>
      </c>
      <c r="N435" s="31" t="n">
        <v>19.8</v>
      </c>
      <c r="O435" s="31" t="n">
        <v>400</v>
      </c>
      <c r="P435" s="31" t="inlineStr">
        <is>
          <t>吉岡辰弥</t>
        </is>
      </c>
      <c r="Q435" s="31" t="inlineStr">
        <is>
          <t>1戦0勝</t>
        </is>
      </c>
      <c r="R435" s="31" t="n">
        <v>0</v>
      </c>
      <c r="S435" s="31" t="n">
        <v>0</v>
      </c>
      <c r="T435" s="31" t="n">
        <v>0</v>
      </c>
      <c r="U435" s="31" t="n">
        <v>0</v>
      </c>
      <c r="V435" s="31" t="n">
        <v>0</v>
      </c>
      <c r="W435" s="31" t="n">
        <v>0</v>
      </c>
      <c r="X435" s="31" t="inlineStr">
        <is>
          <t>--&gt;</t>
        </is>
      </c>
      <c r="Y435" s="31" t="n">
        <v>1</v>
      </c>
      <c r="Z435" s="31" t="inlineStr">
        <is>
          <t>420kg+</t>
        </is>
      </c>
    </row>
    <row r="436">
      <c r="A436" s="31" t="n">
        <v>2024</v>
      </c>
      <c r="B436" s="31" t="n">
        <v>64</v>
      </c>
      <c r="C436" s="31" t="inlineStr">
        <is>
          <t>ベルディーヴァの23</t>
        </is>
      </c>
      <c r="D436" s="31" t="inlineStr">
        <is>
          <t>シャンドラファール (Chant du Rafale)</t>
        </is>
      </c>
      <c r="E436" s="31" t="inlineStr">
        <is>
          <t>ドレフォン</t>
        </is>
      </c>
      <c r="F436" s="31" t="inlineStr">
        <is>
          <t>牡</t>
        </is>
      </c>
      <c r="G436" s="31" t="n">
        <v>5</v>
      </c>
      <c r="H436" s="31" t="n">
        <v>11</v>
      </c>
      <c r="I436" s="31" t="n">
        <v>1</v>
      </c>
      <c r="J436" s="31" t="n">
        <v>4400</v>
      </c>
      <c r="K436" s="31" t="n">
        <v>452</v>
      </c>
      <c r="L436" s="31" t="n">
        <v>159.5</v>
      </c>
      <c r="M436" s="31" t="n">
        <v>176.5</v>
      </c>
      <c r="N436" s="31" t="n">
        <v>21</v>
      </c>
      <c r="O436" s="31" t="n">
        <v>400</v>
      </c>
      <c r="P436" s="31" t="inlineStr">
        <is>
          <t>斉藤崇史</t>
        </is>
      </c>
      <c r="Q436" s="31" t="inlineStr">
        <is>
          <t>8戦0勝</t>
        </is>
      </c>
      <c r="R436" s="31" t="n">
        <v>0</v>
      </c>
      <c r="S436" s="31" t="n">
        <v>0</v>
      </c>
      <c r="T436" s="31" t="n">
        <v>1078</v>
      </c>
      <c r="U436" s="31" t="n">
        <v>0</v>
      </c>
      <c r="V436" s="31" t="n">
        <v>0.24</v>
      </c>
      <c r="W436" s="31" t="n">
        <v>0</v>
      </c>
      <c r="X436" s="31" t="inlineStr">
        <is>
          <t>--&gt;</t>
        </is>
      </c>
      <c r="Y436" s="31" t="n">
        <v>2</v>
      </c>
      <c r="Z436" s="31" t="inlineStr">
        <is>
          <t>牡・420kg+</t>
        </is>
      </c>
    </row>
    <row r="437">
      <c r="A437" s="31" t="n">
        <v>2024</v>
      </c>
      <c r="B437" s="31" t="n">
        <v>65</v>
      </c>
      <c r="C437" s="31" t="inlineStr">
        <is>
          <t>エリティエールの23</t>
        </is>
      </c>
      <c r="D437" s="31" t="inlineStr">
        <is>
          <t>ガルディエンヌ (Gardienne)</t>
        </is>
      </c>
      <c r="E437" s="31" t="inlineStr">
        <is>
          <t>ドレフォン</t>
        </is>
      </c>
      <c r="F437" s="31" t="inlineStr">
        <is>
          <t>メス</t>
        </is>
      </c>
      <c r="G437" s="31" t="n">
        <v>3</v>
      </c>
      <c r="H437" s="31" t="n">
        <v>9</v>
      </c>
      <c r="I437" s="31" t="n">
        <v>1</v>
      </c>
      <c r="J437" s="31" t="n">
        <v>3000</v>
      </c>
      <c r="K437" s="31" t="n">
        <v>432</v>
      </c>
      <c r="L437" s="31" t="n">
        <v>155.5</v>
      </c>
      <c r="M437" s="31" t="n">
        <v>170.5</v>
      </c>
      <c r="N437" s="31" t="n">
        <v>20.3</v>
      </c>
      <c r="O437" s="31" t="n">
        <v>400</v>
      </c>
      <c r="P437" s="31" t="inlineStr">
        <is>
          <t>高橋亮</t>
        </is>
      </c>
      <c r="Q437" s="31" t="inlineStr">
        <is>
          <t>8戦0勝</t>
        </is>
      </c>
      <c r="R437" s="31" t="n">
        <v>0</v>
      </c>
      <c r="S437" s="31" t="n">
        <v>0</v>
      </c>
      <c r="T437" s="31" t="n">
        <v>497</v>
      </c>
      <c r="U437" s="31" t="n">
        <v>0</v>
      </c>
      <c r="V437" s="31" t="n">
        <v>0.17</v>
      </c>
      <c r="W437" s="31" t="n">
        <v>0</v>
      </c>
      <c r="X437" s="31" t="inlineStr">
        <is>
          <t>--&gt;</t>
        </is>
      </c>
      <c r="Y437" s="31" t="n">
        <v>2</v>
      </c>
      <c r="Z437" s="31" t="inlineStr">
        <is>
          <t>価格帯・420kg+</t>
        </is>
      </c>
    </row>
    <row r="438">
      <c r="A438" s="31" t="n">
        <v>2024</v>
      </c>
      <c r="B438" s="31" t="n">
        <v>66</v>
      </c>
      <c r="C438" s="31" t="inlineStr">
        <is>
          <t>マルシュロレーヌの23</t>
        </is>
      </c>
      <c r="D438" s="31" t="inlineStr">
        <is>
          <t>マルシュボヌール (Marche Bonheur)</t>
        </is>
      </c>
      <c r="E438" s="31" t="inlineStr">
        <is>
          <t>ドレフォン</t>
        </is>
      </c>
      <c r="F438" s="31" t="inlineStr">
        <is>
          <t>メス</t>
        </is>
      </c>
      <c r="G438" s="31" t="n">
        <v>4</v>
      </c>
      <c r="H438" s="31" t="n">
        <v>7</v>
      </c>
      <c r="I438" s="31" t="n">
        <v>1</v>
      </c>
      <c r="J438" s="31" t="n">
        <v>7000</v>
      </c>
      <c r="K438" s="31" t="n">
        <v>404</v>
      </c>
      <c r="L438" s="31" t="n">
        <v>149</v>
      </c>
      <c r="M438" s="31" t="n">
        <v>172</v>
      </c>
      <c r="N438" s="31" t="n">
        <v>19.6</v>
      </c>
      <c r="O438" s="31" t="n">
        <v>400</v>
      </c>
      <c r="P438" s="31" t="inlineStr">
        <is>
          <t>矢作芳人</t>
        </is>
      </c>
      <c r="Q438" s="31" t="inlineStr">
        <is>
          <t>7戦0勝</t>
        </is>
      </c>
      <c r="R438" s="31" t="n">
        <v>0</v>
      </c>
      <c r="S438" s="31" t="n">
        <v>0</v>
      </c>
      <c r="T438" s="31" t="n">
        <v>349</v>
      </c>
      <c r="U438" s="31" t="n">
        <v>0</v>
      </c>
      <c r="V438" s="31" t="n">
        <v>0.05</v>
      </c>
      <c r="W438" s="31" t="n">
        <v>0</v>
      </c>
      <c r="X438" s="31" t="inlineStr">
        <is>
          <t>--&gt;</t>
        </is>
      </c>
      <c r="Y438" s="31" t="n">
        <v>0</v>
      </c>
      <c r="Z438" s="31" t="inlineStr"/>
    </row>
    <row r="439">
      <c r="A439" s="31" t="n">
        <v>2024</v>
      </c>
      <c r="B439" s="31" t="n">
        <v>67</v>
      </c>
      <c r="C439" s="31" t="inlineStr">
        <is>
          <t>ブランシェクールの23</t>
        </is>
      </c>
      <c r="D439" s="31" t="inlineStr">
        <is>
          <t>フィアスゲイル (Fierce Gale)</t>
        </is>
      </c>
      <c r="E439" s="31" t="inlineStr">
        <is>
          <t>ドレフォン</t>
        </is>
      </c>
      <c r="F439" s="31" t="inlineStr">
        <is>
          <t>メス</t>
        </is>
      </c>
      <c r="G439" s="31" t="n">
        <v>4</v>
      </c>
      <c r="H439" s="31" t="n">
        <v>10</v>
      </c>
      <c r="I439" s="31" t="n">
        <v>1</v>
      </c>
      <c r="J439" s="31" t="n">
        <v>3200</v>
      </c>
      <c r="K439" s="31" t="n">
        <v>444</v>
      </c>
      <c r="L439" s="31" t="n">
        <v>153</v>
      </c>
      <c r="M439" s="31" t="n">
        <v>174.5</v>
      </c>
      <c r="N439" s="31" t="n">
        <v>20.2</v>
      </c>
      <c r="O439" s="31" t="n">
        <v>400</v>
      </c>
      <c r="P439" s="31" t="inlineStr">
        <is>
          <t>武幸四郎</t>
        </is>
      </c>
      <c r="Q439" s="31" t="inlineStr">
        <is>
          <t>6戦0勝</t>
        </is>
      </c>
      <c r="R439" s="31" t="n">
        <v>0</v>
      </c>
      <c r="S439" s="31" t="n">
        <v>0</v>
      </c>
      <c r="T439" s="31" t="n">
        <v>0</v>
      </c>
      <c r="U439" s="31" t="n">
        <v>8</v>
      </c>
      <c r="V439" s="31" t="n">
        <v>0</v>
      </c>
      <c r="W439" s="31" t="n">
        <v>0</v>
      </c>
      <c r="X439" s="31" t="inlineStr">
        <is>
          <t>--&gt;</t>
        </is>
      </c>
      <c r="Y439" s="31" t="n">
        <v>2</v>
      </c>
      <c r="Z439" s="31" t="inlineStr">
        <is>
          <t>価格帯・420kg+</t>
        </is>
      </c>
    </row>
    <row r="440">
      <c r="A440" s="31" t="n">
        <v>2024</v>
      </c>
      <c r="B440" s="31" t="n">
        <v>68</v>
      </c>
      <c r="C440" s="31" t="inlineStr">
        <is>
          <t>オーロトラジェの23</t>
        </is>
      </c>
      <c r="D440" s="31" t="inlineStr">
        <is>
          <t>ノンブルドール (Nombre d'Or)</t>
        </is>
      </c>
      <c r="E440" s="31" t="inlineStr">
        <is>
          <t>レイデオロ</t>
        </is>
      </c>
      <c r="F440" s="31" t="inlineStr">
        <is>
          <t>牡</t>
        </is>
      </c>
      <c r="G440" s="31" t="n">
        <v>3</v>
      </c>
      <c r="H440" s="31" t="n">
        <v>7</v>
      </c>
      <c r="I440" s="31" t="n">
        <v>1</v>
      </c>
      <c r="J440" s="31" t="n">
        <v>3000</v>
      </c>
      <c r="K440" s="31" t="n">
        <v>405</v>
      </c>
      <c r="L440" s="31" t="n">
        <v>155</v>
      </c>
      <c r="M440" s="31" t="n">
        <v>171</v>
      </c>
      <c r="N440" s="31" t="n">
        <v>20</v>
      </c>
      <c r="O440" s="31" t="n">
        <v>400</v>
      </c>
      <c r="P440" s="31" t="inlineStr">
        <is>
          <t>西園翔太</t>
        </is>
      </c>
      <c r="Q440" s="31" t="inlineStr">
        <is>
          <t>7戦1勝</t>
        </is>
      </c>
      <c r="R440" s="31" t="n">
        <v>1</v>
      </c>
      <c r="S440" s="31" t="n">
        <v>0</v>
      </c>
      <c r="T440" s="31" t="n">
        <v>1829</v>
      </c>
      <c r="U440" s="31" t="n">
        <v>0</v>
      </c>
      <c r="V440" s="31" t="n">
        <v>0.61</v>
      </c>
      <c r="W440" s="31" t="n">
        <v>0</v>
      </c>
      <c r="X440" s="31" t="inlineStr">
        <is>
          <t>26'3歳未勝利--&gt;</t>
        </is>
      </c>
      <c r="Y440" s="31" t="n">
        <v>2</v>
      </c>
      <c r="Z440" s="31" t="inlineStr">
        <is>
          <t>牡・価格帯</t>
        </is>
      </c>
    </row>
    <row r="441">
      <c r="A441" s="31" t="n">
        <v>2024</v>
      </c>
      <c r="B441" s="31" t="n">
        <v>69</v>
      </c>
      <c r="C441" s="31" t="inlineStr">
        <is>
          <t>ヴィルデローゼの23</t>
        </is>
      </c>
      <c r="D441" s="31" t="inlineStr">
        <is>
          <t>ミスティパープル (Misty Purple)</t>
        </is>
      </c>
      <c r="E441" s="31" t="inlineStr">
        <is>
          <t>レイデオロ</t>
        </is>
      </c>
      <c r="F441" s="31" t="inlineStr">
        <is>
          <t>メス</t>
        </is>
      </c>
      <c r="G441" s="31" t="n">
        <v>3</v>
      </c>
      <c r="H441" s="31" t="n">
        <v>9</v>
      </c>
      <c r="I441" s="31" t="n">
        <v>1</v>
      </c>
      <c r="J441" s="31" t="n">
        <v>2800</v>
      </c>
      <c r="K441" s="31" t="n">
        <v>443</v>
      </c>
      <c r="L441" s="31" t="n">
        <v>154</v>
      </c>
      <c r="M441" s="31" t="n">
        <v>176</v>
      </c>
      <c r="N441" s="31" t="n">
        <v>19.2</v>
      </c>
      <c r="O441" s="31" t="n">
        <v>400</v>
      </c>
      <c r="P441" s="31" t="inlineStr">
        <is>
          <t>茶木太樹</t>
        </is>
      </c>
      <c r="Q441" s="31" t="inlineStr">
        <is>
          <t>5戦0勝</t>
        </is>
      </c>
      <c r="R441" s="31" t="n">
        <v>0</v>
      </c>
      <c r="S441" s="31" t="n">
        <v>0</v>
      </c>
      <c r="T441" s="31" t="n">
        <v>0</v>
      </c>
      <c r="U441" s="31" t="n">
        <v>0</v>
      </c>
      <c r="V441" s="31" t="n">
        <v>0</v>
      </c>
      <c r="W441" s="31" t="n">
        <v>0</v>
      </c>
      <c r="X441" s="31" t="inlineStr">
        <is>
          <t>--&gt;</t>
        </is>
      </c>
      <c r="Y441" s="31" t="n">
        <v>2</v>
      </c>
      <c r="Z441" s="31" t="inlineStr">
        <is>
          <t>価格帯・420kg+</t>
        </is>
      </c>
    </row>
    <row r="442">
      <c r="A442" s="31" t="n">
        <v>2024</v>
      </c>
      <c r="B442" s="31" t="n">
        <v>70</v>
      </c>
      <c r="C442" s="31" t="inlineStr">
        <is>
          <t>リャスナの23</t>
        </is>
      </c>
      <c r="D442" s="31" t="inlineStr">
        <is>
          <t>ラジャブルック (Rajah Brooke)</t>
        </is>
      </c>
      <c r="E442" s="31" t="inlineStr">
        <is>
          <t>ナダル</t>
        </is>
      </c>
      <c r="F442" s="31" t="inlineStr">
        <is>
          <t>牡</t>
        </is>
      </c>
      <c r="G442" s="31" t="n">
        <v>3</v>
      </c>
      <c r="H442" s="31" t="n">
        <v>7</v>
      </c>
      <c r="I442" s="31" t="n">
        <v>1</v>
      </c>
      <c r="J442" s="31" t="n">
        <v>5000</v>
      </c>
      <c r="K442" s="31" t="n">
        <v>420</v>
      </c>
      <c r="L442" s="31" t="n">
        <v>155</v>
      </c>
      <c r="M442" s="31" t="n">
        <v>169.5</v>
      </c>
      <c r="N442" s="31" t="n">
        <v>20.8</v>
      </c>
      <c r="O442" s="31" t="n">
        <v>400</v>
      </c>
      <c r="P442" s="31" t="inlineStr">
        <is>
          <t>高野友和</t>
        </is>
      </c>
      <c r="Q442" s="31" t="inlineStr">
        <is>
          <t>6戦0勝</t>
        </is>
      </c>
      <c r="R442" s="31" t="n">
        <v>0</v>
      </c>
      <c r="S442" s="31" t="n">
        <v>0</v>
      </c>
      <c r="T442" s="31" t="n">
        <v>150</v>
      </c>
      <c r="U442" s="31" t="n">
        <v>0</v>
      </c>
      <c r="V442" s="31" t="n">
        <v>0.03</v>
      </c>
      <c r="W442" s="31" t="n">
        <v>0</v>
      </c>
      <c r="X442" s="31" t="inlineStr">
        <is>
          <t>--&gt;</t>
        </is>
      </c>
      <c r="Y442" s="31" t="n">
        <v>2</v>
      </c>
      <c r="Z442" s="31" t="inlineStr">
        <is>
          <t>牡・420kg+</t>
        </is>
      </c>
    </row>
    <row r="443">
      <c r="A443" s="31" t="n">
        <v>2024</v>
      </c>
      <c r="B443" s="31" t="n">
        <v>71</v>
      </c>
      <c r="C443" s="31" t="inlineStr">
        <is>
          <t>ベルプラージュの23</t>
        </is>
      </c>
      <c r="D443" s="31" t="inlineStr">
        <is>
          <t>アーガイルショア (Argyle Shore)</t>
        </is>
      </c>
      <c r="E443" s="31" t="inlineStr">
        <is>
          <t>ナダル</t>
        </is>
      </c>
      <c r="F443" s="31" t="inlineStr">
        <is>
          <t>メス</t>
        </is>
      </c>
      <c r="G443" s="31" t="n">
        <v>4</v>
      </c>
      <c r="H443" s="31" t="n">
        <v>12</v>
      </c>
      <c r="I443" s="31" t="n">
        <v>1</v>
      </c>
      <c r="J443" s="31" t="n">
        <v>3000</v>
      </c>
      <c r="K443" s="31" t="n">
        <v>481</v>
      </c>
      <c r="L443" s="31" t="n">
        <v>153</v>
      </c>
      <c r="M443" s="31" t="n">
        <v>181</v>
      </c>
      <c r="N443" s="31" t="n">
        <v>19.8</v>
      </c>
      <c r="O443" s="31" t="n">
        <v>400</v>
      </c>
      <c r="P443" s="31" t="inlineStr">
        <is>
          <t>安田翔伍</t>
        </is>
      </c>
      <c r="Q443" s="31" t="inlineStr">
        <is>
          <t>9戦1勝</t>
        </is>
      </c>
      <c r="R443" s="31" t="n">
        <v>1</v>
      </c>
      <c r="S443" s="31" t="n">
        <v>0</v>
      </c>
      <c r="T443" s="31" t="n">
        <v>1601</v>
      </c>
      <c r="U443" s="31" t="n">
        <v>0</v>
      </c>
      <c r="V443" s="31" t="n">
        <v>0.53</v>
      </c>
      <c r="W443" s="31" t="n">
        <v>0</v>
      </c>
      <c r="X443" s="31" t="inlineStr">
        <is>
          <t>26'3歳未勝利--&gt;</t>
        </is>
      </c>
      <c r="Y443" s="31" t="n">
        <v>2</v>
      </c>
      <c r="Z443" s="31" t="inlineStr">
        <is>
          <t>価格帯・420kg+</t>
        </is>
      </c>
    </row>
    <row r="444">
      <c r="A444" s="31" t="n">
        <v>2024</v>
      </c>
      <c r="B444" s="31" t="n">
        <v>72</v>
      </c>
      <c r="C444" s="31" t="inlineStr">
        <is>
          <t>ブルーメンクローネの23</t>
        </is>
      </c>
      <c r="D444" s="31" t="inlineStr">
        <is>
          <t>ローベルクランツ (Lorbeerkranz)</t>
        </is>
      </c>
      <c r="E444" s="31" t="inlineStr">
        <is>
          <t>サトノダイヤモンド</t>
        </is>
      </c>
      <c r="F444" s="31" t="inlineStr">
        <is>
          <t>牡</t>
        </is>
      </c>
      <c r="G444" s="31" t="n">
        <v>2</v>
      </c>
      <c r="H444" s="31" t="n">
        <v>8</v>
      </c>
      <c r="I444" s="31" t="n">
        <v>1</v>
      </c>
      <c r="J444" s="31" t="n">
        <v>3000</v>
      </c>
      <c r="K444" s="31" t="n">
        <v>458</v>
      </c>
      <c r="L444" s="31" t="n">
        <v>152</v>
      </c>
      <c r="M444" s="31" t="n">
        <v>172.5</v>
      </c>
      <c r="N444" s="31" t="n">
        <v>20.8</v>
      </c>
      <c r="O444" s="31" t="n">
        <v>400</v>
      </c>
      <c r="P444" s="31" t="inlineStr">
        <is>
          <t>小林真也</t>
        </is>
      </c>
      <c r="Q444" s="31" t="inlineStr">
        <is>
          <t>7戦1勝</t>
        </is>
      </c>
      <c r="R444" s="31" t="n">
        <v>1</v>
      </c>
      <c r="S444" s="31" t="n">
        <v>0</v>
      </c>
      <c r="T444" s="31" t="n">
        <v>4467</v>
      </c>
      <c r="U444" s="31" t="n">
        <v>0</v>
      </c>
      <c r="V444" s="31" t="n">
        <v>1.49</v>
      </c>
      <c r="W444" s="31" t="n">
        <v>0</v>
      </c>
      <c r="X444" s="31" t="inlineStr">
        <is>
          <t>25'2歳未勝利--&gt;</t>
        </is>
      </c>
      <c r="Y444" s="31" t="n">
        <v>3</v>
      </c>
      <c r="Z444" s="31" t="inlineStr">
        <is>
          <t>牡・価格帯・420kg+</t>
        </is>
      </c>
    </row>
    <row r="445">
      <c r="A445" s="31" t="n">
        <v>2024</v>
      </c>
      <c r="B445" s="31" t="n">
        <v>73</v>
      </c>
      <c r="C445" s="31" t="inlineStr">
        <is>
          <t>トゥリフォーの23</t>
        </is>
      </c>
      <c r="D445" s="31" t="inlineStr">
        <is>
          <t>サンヴァランタン (Saint Valentin)</t>
        </is>
      </c>
      <c r="E445" s="31" t="inlineStr">
        <is>
          <t>サトノダイヤモンド</t>
        </is>
      </c>
      <c r="F445" s="31" t="inlineStr">
        <is>
          <t>メス</t>
        </is>
      </c>
      <c r="G445" s="31" t="n">
        <v>2</v>
      </c>
      <c r="H445" s="31" t="n">
        <v>9</v>
      </c>
      <c r="I445" s="31" t="n">
        <v>1</v>
      </c>
      <c r="J445" s="31" t="n">
        <v>2400</v>
      </c>
      <c r="K445" s="31" t="n">
        <v>418</v>
      </c>
      <c r="L445" s="31" t="n">
        <v>155</v>
      </c>
      <c r="M445" s="31" t="n">
        <v>172</v>
      </c>
      <c r="N445" s="31" t="n">
        <v>20.2</v>
      </c>
      <c r="O445" s="31" t="n">
        <v>400</v>
      </c>
      <c r="P445" s="31" t="inlineStr">
        <is>
          <t>高柳大輔</t>
        </is>
      </c>
      <c r="Q445" s="31" t="inlineStr">
        <is>
          <t>0戦0勝</t>
        </is>
      </c>
      <c r="R445" s="31" t="n">
        <v>0</v>
      </c>
      <c r="S445" s="31" t="n">
        <v>0</v>
      </c>
      <c r="T445" s="31" t="n">
        <v>0</v>
      </c>
      <c r="U445" s="31" t="n">
        <v>0</v>
      </c>
      <c r="V445" s="31" t="n">
        <v>0</v>
      </c>
      <c r="W445" s="31" t="n">
        <v>0</v>
      </c>
      <c r="X445" s="31" t="inlineStr">
        <is>
          <t>--&gt;</t>
        </is>
      </c>
      <c r="Y445" s="31" t="n">
        <v>0</v>
      </c>
      <c r="Z445" s="31" t="inlineStr"/>
    </row>
    <row r="446">
      <c r="A446" s="31" t="n">
        <v>2024</v>
      </c>
      <c r="B446" s="31" t="n">
        <v>74</v>
      </c>
      <c r="C446" s="31" t="inlineStr">
        <is>
          <t>パッシングスルーの23</t>
        </is>
      </c>
      <c r="D446" s="31" t="inlineStr">
        <is>
          <t>ブレットパス (Bullet Pass)</t>
        </is>
      </c>
      <c r="E446" s="31" t="inlineStr">
        <is>
          <t>アルアイン</t>
        </is>
      </c>
      <c r="F446" s="31" t="inlineStr">
        <is>
          <t>牡</t>
        </is>
      </c>
      <c r="G446" s="31" t="n">
        <v>2</v>
      </c>
      <c r="H446" s="31" t="n">
        <v>7</v>
      </c>
      <c r="I446" s="31" t="n">
        <v>1</v>
      </c>
      <c r="J446" s="31" t="n">
        <v>4000</v>
      </c>
      <c r="K446" s="31" t="n">
        <v>450</v>
      </c>
      <c r="L446" s="31" t="n">
        <v>155</v>
      </c>
      <c r="M446" s="31" t="n">
        <v>174</v>
      </c>
      <c r="N446" s="31" t="n">
        <v>20.8</v>
      </c>
      <c r="O446" s="31" t="n">
        <v>400</v>
      </c>
      <c r="P446" s="31" t="inlineStr">
        <is>
          <t>中内田充正</t>
        </is>
      </c>
      <c r="Q446" s="31" t="inlineStr">
        <is>
          <t>6戦2勝</t>
        </is>
      </c>
      <c r="R446" s="31" t="n">
        <v>2</v>
      </c>
      <c r="S446" s="31" t="n">
        <v>0</v>
      </c>
      <c r="T446" s="31" t="n">
        <v>3583</v>
      </c>
      <c r="U446" s="31" t="n">
        <v>0</v>
      </c>
      <c r="V446" s="31" t="n">
        <v>0.9</v>
      </c>
      <c r="W446" s="31" t="n">
        <v>0</v>
      </c>
      <c r="X446" s="31" t="inlineStr">
        <is>
          <t>26'あやめ賞(1勝クラス)25'2歳未勝利--&gt;</t>
        </is>
      </c>
      <c r="Y446" s="31" t="n">
        <v>2</v>
      </c>
      <c r="Z446" s="31" t="inlineStr">
        <is>
          <t>牡・420kg+</t>
        </is>
      </c>
    </row>
    <row r="447">
      <c r="A447" s="31" t="n">
        <v>2024</v>
      </c>
      <c r="B447" s="31" t="n">
        <v>75</v>
      </c>
      <c r="C447" s="31" t="inlineStr">
        <is>
          <t>クルークハイトの23</t>
        </is>
      </c>
      <c r="D447" s="31" t="inlineStr">
        <is>
          <t>ブロンザイト (Bronzite)</t>
        </is>
      </c>
      <c r="E447" s="31" t="inlineStr">
        <is>
          <t>クリソベリル</t>
        </is>
      </c>
      <c r="F447" s="31" t="inlineStr">
        <is>
          <t>牡</t>
        </is>
      </c>
      <c r="G447" s="31" t="n">
        <v>1</v>
      </c>
      <c r="H447" s="31" t="n">
        <v>9</v>
      </c>
      <c r="I447" s="31" t="n">
        <v>1</v>
      </c>
      <c r="J447" s="31" t="n">
        <v>4000</v>
      </c>
      <c r="K447" s="31" t="n">
        <v>476</v>
      </c>
      <c r="L447" s="31" t="n">
        <v>154.5</v>
      </c>
      <c r="M447" s="31" t="n">
        <v>180</v>
      </c>
      <c r="N447" s="31" t="n">
        <v>20.8</v>
      </c>
      <c r="O447" s="31" t="n">
        <v>400</v>
      </c>
      <c r="P447" s="31" t="inlineStr">
        <is>
          <t>福永祐一</t>
        </is>
      </c>
      <c r="Q447" s="31" t="inlineStr">
        <is>
          <t>5戦0勝</t>
        </is>
      </c>
      <c r="R447" s="31" t="n">
        <v>0</v>
      </c>
      <c r="S447" s="31" t="n">
        <v>0</v>
      </c>
      <c r="T447" s="31" t="n">
        <v>0</v>
      </c>
      <c r="U447" s="31" t="n">
        <v>0</v>
      </c>
      <c r="V447" s="31" t="n">
        <v>0</v>
      </c>
      <c r="W447" s="31" t="n">
        <v>0</v>
      </c>
      <c r="X447" s="31" t="inlineStr">
        <is>
          <t>--&gt;</t>
        </is>
      </c>
      <c r="Y447" s="31" t="n">
        <v>2</v>
      </c>
      <c r="Z447" s="31" t="inlineStr">
        <is>
          <t>牡・420kg+</t>
        </is>
      </c>
    </row>
    <row r="448">
      <c r="A448" s="31" t="n">
        <v>2024</v>
      </c>
      <c r="B448" s="31" t="n">
        <v>76</v>
      </c>
      <c r="C448" s="31" t="inlineStr">
        <is>
          <t>ヒカルアモーレの23</t>
        </is>
      </c>
      <c r="D448" s="31" t="inlineStr">
        <is>
          <t>シルバーリム (Silver Limb)</t>
        </is>
      </c>
      <c r="E448" s="31" t="inlineStr">
        <is>
          <t>シルバーステート</t>
        </is>
      </c>
      <c r="F448" s="31" t="inlineStr">
        <is>
          <t>メス</t>
        </is>
      </c>
      <c r="G448" s="31" t="n">
        <v>4</v>
      </c>
      <c r="H448" s="31" t="n">
        <v>19</v>
      </c>
      <c r="I448" s="31" t="n">
        <v>1</v>
      </c>
      <c r="J448" s="31" t="n">
        <v>2400</v>
      </c>
      <c r="K448" s="31" t="n">
        <v>422</v>
      </c>
      <c r="L448" s="31" t="n">
        <v>154</v>
      </c>
      <c r="M448" s="31" t="n">
        <v>171</v>
      </c>
      <c r="N448" s="31" t="n">
        <v>19.8</v>
      </c>
      <c r="O448" s="31" t="n">
        <v>400</v>
      </c>
      <c r="P448" s="31" t="inlineStr">
        <is>
          <t>中村直也</t>
        </is>
      </c>
      <c r="Q448" s="31" t="inlineStr">
        <is>
          <t>6戦1勝</t>
        </is>
      </c>
      <c r="R448" s="31" t="n">
        <v>1</v>
      </c>
      <c r="S448" s="31" t="n">
        <v>0</v>
      </c>
      <c r="T448" s="31" t="n">
        <v>799</v>
      </c>
      <c r="U448" s="31" t="n">
        <v>0</v>
      </c>
      <c r="V448" s="31" t="n">
        <v>0.33</v>
      </c>
      <c r="W448" s="31" t="n">
        <v>0</v>
      </c>
      <c r="X448" s="31" t="inlineStr">
        <is>
          <t>26'3歳未勝利--&gt;</t>
        </is>
      </c>
      <c r="Y448" s="31" t="n">
        <v>1</v>
      </c>
      <c r="Z448" s="31" t="inlineStr">
        <is>
          <t>420kg+</t>
        </is>
      </c>
    </row>
    <row r="449">
      <c r="A449" s="31" t="n">
        <v>2024</v>
      </c>
      <c r="B449" s="31" t="n">
        <v>77</v>
      </c>
      <c r="C449" s="31" t="inlineStr">
        <is>
          <t>マルケッサの23</t>
        </is>
      </c>
      <c r="D449" s="31" t="inlineStr">
        <is>
          <t>ヴィスコンテッサ (Viscontessa)</t>
        </is>
      </c>
      <c r="E449" s="31" t="inlineStr">
        <is>
          <t>シルバーステート</t>
        </is>
      </c>
      <c r="F449" s="31" t="inlineStr">
        <is>
          <t>メス</t>
        </is>
      </c>
      <c r="G449" s="31" t="n">
        <v>4</v>
      </c>
      <c r="H449" s="31" t="n">
        <v>8</v>
      </c>
      <c r="I449" s="31" t="n">
        <v>1</v>
      </c>
      <c r="J449" s="31" t="n">
        <v>5000</v>
      </c>
      <c r="K449" s="31" t="n">
        <v>419</v>
      </c>
      <c r="L449" s="31" t="n">
        <v>153</v>
      </c>
      <c r="M449" s="31" t="n">
        <v>173</v>
      </c>
      <c r="N449" s="31" t="n">
        <v>19</v>
      </c>
      <c r="O449" s="31" t="n">
        <v>400</v>
      </c>
      <c r="P449" s="31" t="inlineStr">
        <is>
          <t>松永幹夫</t>
        </is>
      </c>
      <c r="Q449" s="31" t="inlineStr">
        <is>
          <t>6戦1勝</t>
        </is>
      </c>
      <c r="R449" s="31" t="n">
        <v>1</v>
      </c>
      <c r="S449" s="31" t="n">
        <v>0</v>
      </c>
      <c r="T449" s="31" t="n">
        <v>1250</v>
      </c>
      <c r="U449" s="31" t="n">
        <v>0</v>
      </c>
      <c r="V449" s="31" t="n">
        <v>0.25</v>
      </c>
      <c r="W449" s="31" t="n">
        <v>0</v>
      </c>
      <c r="X449" s="31" t="inlineStr">
        <is>
          <t>25'2歳未勝利--&gt;</t>
        </is>
      </c>
      <c r="Y449" s="31" t="n">
        <v>0</v>
      </c>
      <c r="Z449" s="31" t="inlineStr"/>
    </row>
    <row r="450">
      <c r="A450" s="31" t="n">
        <v>2024</v>
      </c>
      <c r="B450" s="31" t="n">
        <v>78</v>
      </c>
      <c r="C450" s="31" t="inlineStr">
        <is>
          <t>スペクトロライトの23</t>
        </is>
      </c>
      <c r="D450" s="31" t="inlineStr">
        <is>
          <t>ガーネットフレア (Garnet Flare)</t>
        </is>
      </c>
      <c r="E450" s="31" t="inlineStr">
        <is>
          <t>ニューイヤーズデイ</t>
        </is>
      </c>
      <c r="F450" s="31" t="inlineStr">
        <is>
          <t>メス</t>
        </is>
      </c>
      <c r="G450" s="31" t="n">
        <v>1</v>
      </c>
      <c r="H450" s="31" t="n">
        <v>13</v>
      </c>
      <c r="I450" s="31" t="n">
        <v>1</v>
      </c>
      <c r="J450" s="31" t="n">
        <v>3600</v>
      </c>
      <c r="K450" s="31" t="n">
        <v>453</v>
      </c>
      <c r="L450" s="31" t="n">
        <v>155.5</v>
      </c>
      <c r="M450" s="31" t="n">
        <v>176.5</v>
      </c>
      <c r="N450" s="31" t="n">
        <v>20</v>
      </c>
      <c r="O450" s="31" t="n">
        <v>400</v>
      </c>
      <c r="P450" s="31" t="inlineStr">
        <is>
          <t>杉山佳明</t>
        </is>
      </c>
      <c r="Q450" s="31" t="inlineStr">
        <is>
          <t>8戦2勝</t>
        </is>
      </c>
      <c r="R450" s="31" t="n">
        <v>2</v>
      </c>
      <c r="S450" s="31" t="n">
        <v>0</v>
      </c>
      <c r="T450" s="31" t="n">
        <v>1890</v>
      </c>
      <c r="U450" s="31" t="n">
        <v>0</v>
      </c>
      <c r="V450" s="31" t="n">
        <v>0.53</v>
      </c>
      <c r="W450" s="31" t="n">
        <v>0</v>
      </c>
      <c r="X450" s="31" t="inlineStr">
        <is>
          <t>26'3歳以上1勝クラス26'3歳未勝利--&gt;</t>
        </is>
      </c>
      <c r="Y450" s="31" t="n">
        <v>2</v>
      </c>
      <c r="Z450" s="31" t="inlineStr">
        <is>
          <t>価格帯・420kg+</t>
        </is>
      </c>
    </row>
    <row r="451">
      <c r="A451" s="31" t="n">
        <v>2024</v>
      </c>
      <c r="B451" s="31" t="n">
        <v>79</v>
      </c>
      <c r="C451" s="31" t="inlineStr">
        <is>
          <t>グリューヴァインの23</t>
        </is>
      </c>
      <c r="D451" s="31" t="inlineStr">
        <is>
          <t>キンダープンシュ (Kinderpunsch)</t>
        </is>
      </c>
      <c r="E451" s="31" t="inlineStr">
        <is>
          <t>モーリス</t>
        </is>
      </c>
      <c r="F451" s="31" t="inlineStr">
        <is>
          <t>メス</t>
        </is>
      </c>
      <c r="G451" s="31" t="n">
        <v>3</v>
      </c>
      <c r="H451" s="31" t="n">
        <v>11</v>
      </c>
      <c r="I451" s="31" t="n">
        <v>1</v>
      </c>
      <c r="J451" s="31" t="n">
        <v>3000</v>
      </c>
      <c r="K451" s="31" t="n">
        <v>474</v>
      </c>
      <c r="L451" s="31" t="n">
        <v>157</v>
      </c>
      <c r="M451" s="31" t="n">
        <v>182.5</v>
      </c>
      <c r="N451" s="31" t="n">
        <v>20.3</v>
      </c>
      <c r="O451" s="31" t="n">
        <v>400</v>
      </c>
      <c r="P451" s="31" t="inlineStr">
        <is>
          <t>大久保龍志</t>
        </is>
      </c>
      <c r="Q451" s="31" t="inlineStr">
        <is>
          <t>8戦1勝</t>
        </is>
      </c>
      <c r="R451" s="31" t="n">
        <v>1</v>
      </c>
      <c r="S451" s="31" t="n">
        <v>0</v>
      </c>
      <c r="T451" s="31" t="n">
        <v>1023</v>
      </c>
      <c r="U451" s="31" t="n">
        <v>0</v>
      </c>
      <c r="V451" s="31" t="n">
        <v>0.34</v>
      </c>
      <c r="W451" s="31" t="n">
        <v>0</v>
      </c>
      <c r="X451" s="31" t="inlineStr">
        <is>
          <t>25'2歳未勝利--&gt;</t>
        </is>
      </c>
      <c r="Y451" s="31" t="n">
        <v>2</v>
      </c>
      <c r="Z451" s="31" t="inlineStr">
        <is>
          <t>価格帯・420kg+</t>
        </is>
      </c>
    </row>
    <row r="452">
      <c r="A452" s="31" t="n">
        <v>2024</v>
      </c>
      <c r="B452" s="31" t="n">
        <v>80</v>
      </c>
      <c r="C452" s="31" t="inlineStr">
        <is>
          <t>ティールグリーンの23</t>
        </is>
      </c>
      <c r="D452" s="31" t="inlineStr">
        <is>
          <t>カレイジャスビート (Courageous Beat)</t>
        </is>
      </c>
      <c r="E452" s="31" t="inlineStr">
        <is>
          <t>リアルスティール</t>
        </is>
      </c>
      <c r="F452" s="31" t="inlineStr">
        <is>
          <t>牡</t>
        </is>
      </c>
      <c r="G452" s="31" t="n">
        <v>2</v>
      </c>
      <c r="H452" s="31" t="n">
        <v>10</v>
      </c>
      <c r="I452" s="31" t="n">
        <v>1</v>
      </c>
      <c r="J452" s="31" t="n">
        <v>4000</v>
      </c>
      <c r="K452" s="31" t="n">
        <v>472</v>
      </c>
      <c r="L452" s="31" t="n">
        <v>159.5</v>
      </c>
      <c r="M452" s="31" t="n">
        <v>177</v>
      </c>
      <c r="N452" s="31" t="n">
        <v>21.2</v>
      </c>
      <c r="O452" s="31" t="n">
        <v>400</v>
      </c>
      <c r="P452" s="31" t="inlineStr">
        <is>
          <t>高野友和</t>
        </is>
      </c>
      <c r="Q452" s="31" t="inlineStr">
        <is>
          <t>4戦1勝</t>
        </is>
      </c>
      <c r="R452" s="31" t="n">
        <v>1</v>
      </c>
      <c r="S452" s="31" t="n">
        <v>0</v>
      </c>
      <c r="T452" s="31" t="n">
        <v>836</v>
      </c>
      <c r="U452" s="31" t="n">
        <v>0</v>
      </c>
      <c r="V452" s="31" t="n">
        <v>0.21</v>
      </c>
      <c r="W452" s="31" t="n">
        <v>0</v>
      </c>
      <c r="X452" s="31" t="inlineStr">
        <is>
          <t>25'2歳未勝利--&gt;</t>
        </is>
      </c>
      <c r="Y452" s="31" t="n">
        <v>2</v>
      </c>
      <c r="Z452" s="31" t="inlineStr">
        <is>
          <t>牡・420kg+</t>
        </is>
      </c>
    </row>
    <row r="453">
      <c r="A453" s="31" t="n">
        <v>2024</v>
      </c>
      <c r="B453" s="31" t="n">
        <v>81</v>
      </c>
      <c r="C453" s="31" t="inlineStr">
        <is>
          <t>コルコバードの23</t>
        </is>
      </c>
      <c r="D453" s="31" t="inlineStr">
        <is>
          <t>クライストヒル</t>
        </is>
      </c>
      <c r="E453" s="31" t="inlineStr">
        <is>
          <t>リオンディーズ</t>
        </is>
      </c>
      <c r="F453" s="31" t="inlineStr">
        <is>
          <t>牡</t>
        </is>
      </c>
      <c r="G453" s="31" t="n">
        <v>1</v>
      </c>
      <c r="H453" s="31" t="n">
        <v>10</v>
      </c>
      <c r="I453" s="31" t="n">
        <v>1</v>
      </c>
      <c r="J453" s="31" t="n">
        <v>4000</v>
      </c>
      <c r="K453" s="31" t="n">
        <v>450</v>
      </c>
      <c r="L453" s="31" t="n">
        <v>162</v>
      </c>
      <c r="M453" s="31" t="n">
        <v>175</v>
      </c>
      <c r="N453" s="31" t="n">
        <v>20.5</v>
      </c>
      <c r="O453" s="31" t="n">
        <v>400</v>
      </c>
      <c r="P453" s="31" t="inlineStr">
        <is>
          <t>田中克典</t>
        </is>
      </c>
      <c r="Q453" s="31" t="inlineStr">
        <is>
          <t>0戦0勝</t>
        </is>
      </c>
      <c r="R453" s="31" t="n">
        <v>0</v>
      </c>
      <c r="S453" s="31" t="n">
        <v>0</v>
      </c>
      <c r="T453" s="31" t="n">
        <v>0</v>
      </c>
      <c r="U453" s="31" t="n">
        <v>0</v>
      </c>
      <c r="V453" s="31" t="n">
        <v>0</v>
      </c>
      <c r="W453" s="31" t="n">
        <v>0</v>
      </c>
      <c r="X453" s="31" t="inlineStr">
        <is>
          <t>--&gt;</t>
        </is>
      </c>
      <c r="Y453" s="31" t="n">
        <v>2</v>
      </c>
      <c r="Z453" s="31" t="inlineStr">
        <is>
          <t>牡・420kg+</t>
        </is>
      </c>
    </row>
    <row r="454">
      <c r="A454" s="31" t="n">
        <v>2024</v>
      </c>
      <c r="B454" s="31" t="n">
        <v>82</v>
      </c>
      <c r="C454" s="31" t="inlineStr">
        <is>
          <t>スウィートショットの23</t>
        </is>
      </c>
      <c r="D454" s="31" t="inlineStr">
        <is>
          <t>クラックショット (Crackshot)</t>
        </is>
      </c>
      <c r="E454" s="31" t="inlineStr">
        <is>
          <t>アドマイヤマーズ</t>
        </is>
      </c>
      <c r="F454" s="31" t="inlineStr">
        <is>
          <t>牡</t>
        </is>
      </c>
      <c r="G454" s="31" t="n">
        <v>3</v>
      </c>
      <c r="H454" s="31" t="n">
        <v>8</v>
      </c>
      <c r="I454" s="31" t="n">
        <v>1</v>
      </c>
      <c r="J454" s="31" t="n">
        <v>4400</v>
      </c>
      <c r="K454" s="31" t="n">
        <v>434</v>
      </c>
      <c r="L454" s="31" t="n">
        <v>152.5</v>
      </c>
      <c r="M454" s="31" t="n">
        <v>173</v>
      </c>
      <c r="N454" s="31" t="n">
        <v>20.3</v>
      </c>
      <c r="O454" s="31" t="n">
        <v>400</v>
      </c>
      <c r="P454" s="31" t="inlineStr">
        <is>
          <t>清水久詞</t>
        </is>
      </c>
      <c r="Q454" s="31" t="inlineStr">
        <is>
          <t>5戦1勝</t>
        </is>
      </c>
      <c r="R454" s="31" t="n">
        <v>1</v>
      </c>
      <c r="S454" s="31" t="n">
        <v>0</v>
      </c>
      <c r="T454" s="31" t="n">
        <v>560</v>
      </c>
      <c r="U454" s="31" t="n">
        <v>0</v>
      </c>
      <c r="V454" s="31" t="n">
        <v>0.13</v>
      </c>
      <c r="W454" s="31" t="n">
        <v>0</v>
      </c>
      <c r="X454" s="31" t="inlineStr">
        <is>
          <t>25'2歳未勝利--&gt;</t>
        </is>
      </c>
      <c r="Y454" s="31" t="n">
        <v>2</v>
      </c>
      <c r="Z454" s="31" t="inlineStr">
        <is>
          <t>牡・420kg+</t>
        </is>
      </c>
    </row>
    <row r="455">
      <c r="A455" s="31" t="n">
        <v>2024</v>
      </c>
      <c r="B455" s="31" t="n">
        <v>83</v>
      </c>
      <c r="C455" s="31" t="inlineStr">
        <is>
          <t>アドヴェントスの23</t>
        </is>
      </c>
      <c r="D455" s="31" t="inlineStr">
        <is>
          <t>ロージーキャンドル (Rosy Candle)</t>
        </is>
      </c>
      <c r="E455" s="31" t="inlineStr">
        <is>
          <t>サトノクラウン</t>
        </is>
      </c>
      <c r="F455" s="31" t="inlineStr">
        <is>
          <t>メス</t>
        </is>
      </c>
      <c r="G455" s="31" t="n">
        <v>1</v>
      </c>
      <c r="H455" s="31" t="n">
        <v>10</v>
      </c>
      <c r="I455" s="31" t="n">
        <v>1</v>
      </c>
      <c r="J455" s="31" t="n">
        <v>2000</v>
      </c>
      <c r="K455" s="31" t="n">
        <v>456</v>
      </c>
      <c r="L455" s="31" t="n">
        <v>153.5</v>
      </c>
      <c r="M455" s="31" t="n">
        <v>170</v>
      </c>
      <c r="N455" s="31" t="n">
        <v>19.5</v>
      </c>
      <c r="O455" s="31" t="n">
        <v>400</v>
      </c>
      <c r="P455" s="31" t="inlineStr">
        <is>
          <t>小栗実</t>
        </is>
      </c>
      <c r="Q455" s="31" t="inlineStr">
        <is>
          <t>5戦0勝</t>
        </is>
      </c>
      <c r="R455" s="31" t="n">
        <v>0</v>
      </c>
      <c r="S455" s="31" t="n">
        <v>0</v>
      </c>
      <c r="T455" s="31" t="n">
        <v>0</v>
      </c>
      <c r="U455" s="31" t="n">
        <v>18</v>
      </c>
      <c r="V455" s="31" t="n">
        <v>0.01</v>
      </c>
      <c r="W455" s="31" t="n">
        <v>0</v>
      </c>
      <c r="X455" s="31" t="inlineStr">
        <is>
          <t>--&gt;</t>
        </is>
      </c>
      <c r="Y455" s="31" t="n">
        <v>1</v>
      </c>
      <c r="Z455" s="31" t="inlineStr">
        <is>
          <t>420kg+</t>
        </is>
      </c>
    </row>
    <row r="456">
      <c r="A456" s="31" t="n">
        <v>2024</v>
      </c>
      <c r="B456" s="31" t="n">
        <v>84</v>
      </c>
      <c r="C456" s="31" t="inlineStr">
        <is>
          <t>リリカルホワイトの23</t>
        </is>
      </c>
      <c r="D456" s="31" t="inlineStr">
        <is>
          <t>ロックターミガン (Rock Ptarmigan)</t>
        </is>
      </c>
      <c r="E456" s="31" t="inlineStr">
        <is>
          <t>シスキン</t>
        </is>
      </c>
      <c r="F456" s="31" t="inlineStr">
        <is>
          <t>牡</t>
        </is>
      </c>
      <c r="G456" s="31" t="n">
        <v>3</v>
      </c>
      <c r="H456" s="31" t="n">
        <v>10</v>
      </c>
      <c r="I456" s="31" t="n">
        <v>1</v>
      </c>
      <c r="J456" s="31" t="n">
        <v>3200</v>
      </c>
      <c r="K456" s="31" t="n">
        <v>516</v>
      </c>
      <c r="L456" s="31" t="n">
        <v>160.5</v>
      </c>
      <c r="M456" s="31" t="n">
        <v>180</v>
      </c>
      <c r="N456" s="31" t="n">
        <v>21.1</v>
      </c>
      <c r="O456" s="31" t="n">
        <v>400</v>
      </c>
      <c r="P456" s="31" t="inlineStr">
        <is>
          <t>石坂公一</t>
        </is>
      </c>
      <c r="Q456" s="31" t="inlineStr">
        <is>
          <t>7戦3勝</t>
        </is>
      </c>
      <c r="R456" s="31" t="n">
        <v>2</v>
      </c>
      <c r="S456" s="31" t="n">
        <v>1</v>
      </c>
      <c r="T456" s="31" t="n">
        <v>2611</v>
      </c>
      <c r="U456" s="31" t="n">
        <v>6100</v>
      </c>
      <c r="V456" s="31" t="n">
        <v>2.72</v>
      </c>
      <c r="W456" s="31" t="n">
        <v>0</v>
      </c>
      <c r="X456" s="31" t="inlineStr">
        <is>
          <t>京浜盃25'ポインセチアS(OP)--&gt;</t>
        </is>
      </c>
      <c r="Y456" s="31" t="n">
        <v>3</v>
      </c>
      <c r="Z456" s="31" t="inlineStr">
        <is>
          <t>牡・価格帯・420kg+</t>
        </is>
      </c>
    </row>
    <row r="457">
      <c r="A457" s="31" t="n">
        <v>2024</v>
      </c>
      <c r="B457" s="31" t="n">
        <v>85</v>
      </c>
      <c r="C457" s="31" t="inlineStr">
        <is>
          <t>プルメリアスターの23</t>
        </is>
      </c>
      <c r="D457" s="31" t="inlineStr">
        <is>
          <t>パシフィックドーン (Pacific Dawn)</t>
        </is>
      </c>
      <c r="E457" s="31" t="inlineStr">
        <is>
          <t>ハービンジャー</t>
        </is>
      </c>
      <c r="F457" s="31" t="inlineStr">
        <is>
          <t>牡</t>
        </is>
      </c>
      <c r="G457" s="31" t="n">
        <v>3</v>
      </c>
      <c r="H457" s="31" t="n">
        <v>11</v>
      </c>
      <c r="I457" s="31" t="n">
        <v>1</v>
      </c>
      <c r="J457" s="31" t="n">
        <v>5000</v>
      </c>
      <c r="K457" s="31" t="n">
        <v>448</v>
      </c>
      <c r="L457" s="31" t="n">
        <v>154</v>
      </c>
      <c r="M457" s="31" t="n">
        <v>172</v>
      </c>
      <c r="N457" s="31" t="n">
        <v>20</v>
      </c>
      <c r="O457" s="31" t="n">
        <v>400</v>
      </c>
      <c r="P457" s="31" t="inlineStr">
        <is>
          <t>池添学</t>
        </is>
      </c>
      <c r="Q457" s="31" t="inlineStr">
        <is>
          <t>0戦0勝</t>
        </is>
      </c>
      <c r="R457" s="31" t="n">
        <v>0</v>
      </c>
      <c r="S457" s="31" t="n">
        <v>0</v>
      </c>
      <c r="T457" s="31" t="n">
        <v>0</v>
      </c>
      <c r="U457" s="31" t="n">
        <v>0</v>
      </c>
      <c r="V457" s="31" t="n">
        <v>0</v>
      </c>
      <c r="W457" s="31" t="n">
        <v>0</v>
      </c>
      <c r="X457" s="31" t="inlineStr">
        <is>
          <t>--&gt;</t>
        </is>
      </c>
      <c r="Y457" s="31" t="n">
        <v>2</v>
      </c>
      <c r="Z457" s="31" t="inlineStr">
        <is>
          <t>牡・420kg+</t>
        </is>
      </c>
    </row>
    <row r="458">
      <c r="A458" s="31" t="n">
        <v>2024</v>
      </c>
      <c r="B458" s="31" t="n">
        <v>86</v>
      </c>
      <c r="C458" s="31" t="inlineStr">
        <is>
          <t>エールデュレーヴの23</t>
        </is>
      </c>
      <c r="D458" s="31" t="inlineStr">
        <is>
          <t>レゼルフォート (Les Ailes Fortes)</t>
        </is>
      </c>
      <c r="E458" s="31" t="inlineStr">
        <is>
          <t>ブリックスアンドモルタル</t>
        </is>
      </c>
      <c r="F458" s="31" t="inlineStr">
        <is>
          <t>メス</t>
        </is>
      </c>
      <c r="G458" s="31" t="n">
        <v>4</v>
      </c>
      <c r="H458" s="31" t="n">
        <v>10</v>
      </c>
      <c r="I458" s="31" t="n">
        <v>1</v>
      </c>
      <c r="J458" s="31" t="n">
        <v>3000</v>
      </c>
      <c r="K458" s="31" t="n">
        <v>411</v>
      </c>
      <c r="L458" s="31" t="n">
        <v>155</v>
      </c>
      <c r="M458" s="31" t="n">
        <v>172</v>
      </c>
      <c r="N458" s="31" t="n">
        <v>19.5</v>
      </c>
      <c r="O458" s="31" t="n">
        <v>400</v>
      </c>
      <c r="P458" s="31" t="inlineStr">
        <is>
          <t>渡辺薫彦</t>
        </is>
      </c>
      <c r="Q458" s="31" t="inlineStr">
        <is>
          <t>3戦1勝</t>
        </is>
      </c>
      <c r="R458" s="31" t="n">
        <v>1</v>
      </c>
      <c r="S458" s="31" t="n">
        <v>0</v>
      </c>
      <c r="T458" s="31" t="n">
        <v>889</v>
      </c>
      <c r="U458" s="31" t="n">
        <v>0</v>
      </c>
      <c r="V458" s="31" t="n">
        <v>0.3</v>
      </c>
      <c r="W458" s="31" t="n">
        <v>0</v>
      </c>
      <c r="X458" s="31" t="inlineStr">
        <is>
          <t>26'3歳未勝利--&gt;</t>
        </is>
      </c>
      <c r="Y458" s="31" t="n">
        <v>1</v>
      </c>
      <c r="Z458" s="31" t="inlineStr">
        <is>
          <t>価格帯</t>
        </is>
      </c>
    </row>
    <row r="459">
      <c r="A459" s="31" t="n">
        <v>2024</v>
      </c>
      <c r="B459" s="31" t="n">
        <v>87</v>
      </c>
      <c r="C459" s="31" t="inlineStr">
        <is>
          <t>ムーングロウの23</t>
        </is>
      </c>
      <c r="D459" s="31" t="inlineStr">
        <is>
          <t>ムーンリットアイル (Moonlit Isle)</t>
        </is>
      </c>
      <c r="E459" s="31" t="inlineStr">
        <is>
          <t>ミッキーアイル</t>
        </is>
      </c>
      <c r="F459" s="31" t="inlineStr">
        <is>
          <t>メス</t>
        </is>
      </c>
      <c r="G459" s="31" t="n">
        <v>4</v>
      </c>
      <c r="H459" s="31" t="n">
        <v>14</v>
      </c>
      <c r="I459" s="31" t="n">
        <v>1</v>
      </c>
      <c r="J459" s="31" t="n">
        <v>3000</v>
      </c>
      <c r="K459" s="31" t="n">
        <v>413</v>
      </c>
      <c r="L459" s="31" t="n">
        <v>153</v>
      </c>
      <c r="M459" s="31" t="n">
        <v>173</v>
      </c>
      <c r="N459" s="31" t="n">
        <v>19</v>
      </c>
      <c r="O459" s="31" t="n">
        <v>400</v>
      </c>
      <c r="P459" s="31" t="inlineStr">
        <is>
          <t>武英智</t>
        </is>
      </c>
      <c r="Q459" s="31" t="inlineStr">
        <is>
          <t>10戦1勝</t>
        </is>
      </c>
      <c r="R459" s="31" t="n">
        <v>1</v>
      </c>
      <c r="S459" s="31" t="n">
        <v>0</v>
      </c>
      <c r="T459" s="31" t="n">
        <v>2134</v>
      </c>
      <c r="U459" s="31" t="n">
        <v>0</v>
      </c>
      <c r="V459" s="31" t="n">
        <v>0.71</v>
      </c>
      <c r="W459" s="31" t="n">
        <v>0</v>
      </c>
      <c r="X459" s="31" t="inlineStr">
        <is>
          <t>26'3歳未勝利--&gt;</t>
        </is>
      </c>
      <c r="Y459" s="31" t="n">
        <v>1</v>
      </c>
      <c r="Z459" s="31" t="inlineStr">
        <is>
          <t>価格帯</t>
        </is>
      </c>
    </row>
    <row r="460">
      <c r="A460" s="31" t="n">
        <v>2024</v>
      </c>
      <c r="B460" s="31" t="n">
        <v>88</v>
      </c>
      <c r="C460" s="31" t="inlineStr">
        <is>
          <t>ティンバレスの23</t>
        </is>
      </c>
      <c r="D460" s="31" t="inlineStr">
        <is>
          <t>フリジアンモード</t>
        </is>
      </c>
      <c r="E460" s="31" t="inlineStr">
        <is>
          <t>アジアエクスプレス</t>
        </is>
      </c>
      <c r="F460" s="31" t="inlineStr">
        <is>
          <t>メス</t>
        </is>
      </c>
      <c r="G460" s="31" t="n">
        <v>2</v>
      </c>
      <c r="H460" s="31" t="n">
        <v>11</v>
      </c>
      <c r="I460" s="31" t="n">
        <v>1</v>
      </c>
      <c r="J460" s="31" t="n">
        <v>2400</v>
      </c>
      <c r="K460" s="31" t="n">
        <v>510</v>
      </c>
      <c r="L460" s="31" t="n">
        <v>157.5</v>
      </c>
      <c r="M460" s="31" t="n">
        <v>182</v>
      </c>
      <c r="N460" s="31" t="n">
        <v>19.2</v>
      </c>
      <c r="O460" s="31" t="n">
        <v>400</v>
      </c>
      <c r="P460" s="31" t="inlineStr">
        <is>
          <t>寺島良</t>
        </is>
      </c>
      <c r="Q460" s="31" t="inlineStr">
        <is>
          <t>0戦0勝</t>
        </is>
      </c>
      <c r="R460" s="31" t="n">
        <v>0</v>
      </c>
      <c r="S460" s="31" t="n">
        <v>0</v>
      </c>
      <c r="T460" s="31" t="n">
        <v>0</v>
      </c>
      <c r="U460" s="31" t="n">
        <v>0</v>
      </c>
      <c r="V460" s="31" t="n">
        <v>0</v>
      </c>
      <c r="W460" s="31" t="n">
        <v>0</v>
      </c>
      <c r="X460" s="31" t="inlineStr">
        <is>
          <t>--&gt;</t>
        </is>
      </c>
      <c r="Y460" s="31" t="n">
        <v>1</v>
      </c>
      <c r="Z460" s="31" t="inlineStr">
        <is>
          <t>420kg+</t>
        </is>
      </c>
    </row>
    <row r="461">
      <c r="A461" s="31" t="n">
        <v>2024</v>
      </c>
      <c r="B461" s="31" t="n">
        <v>89</v>
      </c>
      <c r="C461" s="31" t="inlineStr">
        <is>
          <t>レオパルディナの23</t>
        </is>
      </c>
      <c r="D461" s="31" t="inlineStr">
        <is>
          <t>アルペングロー (Alpenglow)</t>
        </is>
      </c>
      <c r="E461" s="31" t="inlineStr">
        <is>
          <t>オルフェーヴル</t>
        </is>
      </c>
      <c r="F461" s="31" t="inlineStr">
        <is>
          <t>牡</t>
        </is>
      </c>
      <c r="G461" s="31" t="n">
        <v>1</v>
      </c>
      <c r="H461" s="31" t="n">
        <v>11</v>
      </c>
      <c r="I461" s="31" t="n">
        <v>1</v>
      </c>
      <c r="J461" s="31" t="n">
        <v>4000</v>
      </c>
      <c r="K461" s="31" t="n">
        <v>451</v>
      </c>
      <c r="L461" s="31" t="n">
        <v>157</v>
      </c>
      <c r="M461" s="31" t="n">
        <v>170</v>
      </c>
      <c r="N461" s="31" t="n">
        <v>20</v>
      </c>
      <c r="O461" s="31" t="n">
        <v>400</v>
      </c>
      <c r="P461" s="31" t="inlineStr">
        <is>
          <t>上村洋行</t>
        </is>
      </c>
      <c r="Q461" s="31" t="inlineStr">
        <is>
          <t>6戦0勝</t>
        </is>
      </c>
      <c r="R461" s="31" t="n">
        <v>0</v>
      </c>
      <c r="S461" s="31" t="n">
        <v>0</v>
      </c>
      <c r="T461" s="31" t="n">
        <v>539</v>
      </c>
      <c r="U461" s="31" t="n">
        <v>0</v>
      </c>
      <c r="V461" s="31" t="n">
        <v>0.13</v>
      </c>
      <c r="W461" s="31" t="n">
        <v>0</v>
      </c>
      <c r="X461" s="31" t="inlineStr">
        <is>
          <t>--&gt;</t>
        </is>
      </c>
      <c r="Y461" s="31" t="n">
        <v>2</v>
      </c>
      <c r="Z461" s="31" t="inlineStr">
        <is>
          <t>牡・420kg+</t>
        </is>
      </c>
    </row>
    <row r="462">
      <c r="A462" s="31" t="n">
        <v>2024</v>
      </c>
      <c r="B462" s="31" t="n">
        <v>90</v>
      </c>
      <c r="C462" s="31" t="inlineStr">
        <is>
          <t>レディオブパーシャの23</t>
        </is>
      </c>
      <c r="D462" s="31" t="inlineStr">
        <is>
          <t>パーシャングレー (Persian Gray)</t>
        </is>
      </c>
      <c r="E462" s="31" t="inlineStr">
        <is>
          <t>Dark Angel</t>
        </is>
      </c>
      <c r="F462" s="31" t="inlineStr">
        <is>
          <t>牡</t>
        </is>
      </c>
      <c r="G462" s="31" t="n">
        <v>3</v>
      </c>
      <c r="H462" s="31" t="n">
        <v>15</v>
      </c>
      <c r="I462" s="31" t="n">
        <v>1</v>
      </c>
      <c r="J462" s="31" t="n">
        <v>6000</v>
      </c>
      <c r="K462" s="31" t="n">
        <v>441</v>
      </c>
      <c r="L462" s="31" t="n">
        <v>151</v>
      </c>
      <c r="M462" s="31" t="n">
        <v>175</v>
      </c>
      <c r="N462" s="31" t="n">
        <v>20</v>
      </c>
      <c r="O462" s="31" t="n">
        <v>400</v>
      </c>
      <c r="P462" s="31" t="inlineStr">
        <is>
          <t>池添学</t>
        </is>
      </c>
      <c r="Q462" s="31" t="inlineStr">
        <is>
          <t>9戦1勝</t>
        </is>
      </c>
      <c r="R462" s="31" t="n">
        <v>1</v>
      </c>
      <c r="S462" s="31" t="n">
        <v>0</v>
      </c>
      <c r="T462" s="31" t="n">
        <v>1135</v>
      </c>
      <c r="U462" s="31" t="n">
        <v>0</v>
      </c>
      <c r="V462" s="31" t="n">
        <v>0.19</v>
      </c>
      <c r="W462" s="31" t="n">
        <v>0</v>
      </c>
      <c r="X462" s="31" t="inlineStr">
        <is>
          <t>26'3歳未勝利--&gt;</t>
        </is>
      </c>
      <c r="Y462" s="31" t="n">
        <v>2</v>
      </c>
      <c r="Z462" s="31" t="inlineStr">
        <is>
          <t>牡・420kg+</t>
        </is>
      </c>
    </row>
    <row r="463">
      <c r="A463" s="31" t="n">
        <v>2024</v>
      </c>
      <c r="B463" s="31" t="n">
        <v>91</v>
      </c>
      <c r="C463" s="31" t="inlineStr">
        <is>
          <t>ヴォーセルの23</t>
        </is>
      </c>
      <c r="D463" s="31" t="inlineStr">
        <is>
          <t>バルフルール (Barfleur)</t>
        </is>
      </c>
      <c r="E463" s="31" t="inlineStr">
        <is>
          <t>Saxon Warrior</t>
        </is>
      </c>
      <c r="F463" s="31" t="inlineStr">
        <is>
          <t>メス</t>
        </is>
      </c>
      <c r="G463" s="31" t="n">
        <v>2</v>
      </c>
      <c r="H463" s="31" t="n">
        <v>6</v>
      </c>
      <c r="I463" s="31" t="n">
        <v>1</v>
      </c>
      <c r="J463" s="31" t="n">
        <v>4000</v>
      </c>
      <c r="K463" s="31" t="n">
        <v>434</v>
      </c>
      <c r="L463" s="31" t="n">
        <v>155</v>
      </c>
      <c r="M463" s="31" t="n">
        <v>175</v>
      </c>
      <c r="N463" s="31" t="n">
        <v>19.8</v>
      </c>
      <c r="O463" s="31" t="n">
        <v>400</v>
      </c>
      <c r="P463" s="31" t="inlineStr">
        <is>
          <t>長谷川浩大</t>
        </is>
      </c>
      <c r="Q463" s="31" t="inlineStr">
        <is>
          <t>3戦0勝</t>
        </is>
      </c>
      <c r="R463" s="31" t="n">
        <v>0</v>
      </c>
      <c r="S463" s="31" t="n">
        <v>0</v>
      </c>
      <c r="T463" s="31" t="n">
        <v>150</v>
      </c>
      <c r="U463" s="31" t="n">
        <v>0</v>
      </c>
      <c r="V463" s="31" t="n">
        <v>0.04</v>
      </c>
      <c r="W463" s="31" t="n">
        <v>0</v>
      </c>
      <c r="X463" s="31" t="inlineStr">
        <is>
          <t>--&gt;</t>
        </is>
      </c>
      <c r="Y463" s="31" t="n">
        <v>1</v>
      </c>
      <c r="Z463" s="31" t="inlineStr">
        <is>
          <t>420kg+</t>
        </is>
      </c>
    </row>
    <row r="464">
      <c r="A464" s="31" t="n">
        <v>2024</v>
      </c>
      <c r="B464" s="31" t="n">
        <v>92</v>
      </c>
      <c r="C464" s="31" t="inlineStr">
        <is>
          <t>エトワールⅢの23</t>
        </is>
      </c>
      <c r="D464" s="31" t="inlineStr">
        <is>
          <t>ヴェスタールカ (Vestalka)</t>
        </is>
      </c>
      <c r="E464" s="31" t="inlineStr">
        <is>
          <t>Wootton Bassett</t>
        </is>
      </c>
      <c r="F464" s="31" t="inlineStr">
        <is>
          <t>メス</t>
        </is>
      </c>
      <c r="G464" s="31" t="n">
        <v>3</v>
      </c>
      <c r="H464" s="31" t="n">
        <v>6</v>
      </c>
      <c r="I464" s="31" t="n">
        <v>1</v>
      </c>
      <c r="J464" s="31" t="n">
        <v>5000</v>
      </c>
      <c r="K464" s="31" t="n">
        <v>476</v>
      </c>
      <c r="L464" s="31" t="n">
        <v>156</v>
      </c>
      <c r="M464" s="31" t="n">
        <v>176.5</v>
      </c>
      <c r="N464" s="31" t="n">
        <v>19.9</v>
      </c>
      <c r="O464" s="31" t="n">
        <v>400</v>
      </c>
      <c r="P464" s="31" t="inlineStr">
        <is>
          <t>高野友和</t>
        </is>
      </c>
      <c r="Q464" s="31" t="inlineStr">
        <is>
          <t>1戦0勝</t>
        </is>
      </c>
      <c r="R464" s="31" t="n">
        <v>0</v>
      </c>
      <c r="S464" s="31" t="n">
        <v>0</v>
      </c>
      <c r="T464" s="31" t="n">
        <v>0</v>
      </c>
      <c r="U464" s="31" t="n">
        <v>0</v>
      </c>
      <c r="V464" s="31" t="n">
        <v>0</v>
      </c>
      <c r="W464" s="31" t="n">
        <v>0</v>
      </c>
      <c r="X464" s="31" t="inlineStr">
        <is>
          <t>--&gt;</t>
        </is>
      </c>
      <c r="Y464" s="31" t="n">
        <v>1</v>
      </c>
      <c r="Z464" s="31" t="inlineStr">
        <is>
          <t>420kg+</t>
        </is>
      </c>
    </row>
    <row r="465">
      <c r="A465" s="31" t="n">
        <v>2024</v>
      </c>
      <c r="B465" s="31" t="n">
        <v>93</v>
      </c>
      <c r="C465" s="31" t="inlineStr">
        <is>
          <t>ジルズパレスの23</t>
        </is>
      </c>
      <c r="D465" s="31" t="inlineStr">
        <is>
          <t>ナインフォルド (Nine Fold)</t>
        </is>
      </c>
      <c r="E465" s="31" t="inlineStr">
        <is>
          <t>クリソベリル</t>
        </is>
      </c>
      <c r="F465" s="31" t="inlineStr">
        <is>
          <t>牡</t>
        </is>
      </c>
      <c r="G465" s="31" t="n">
        <v>4</v>
      </c>
      <c r="H465" s="31" t="n">
        <v>10</v>
      </c>
      <c r="I465" s="31" t="n">
        <v>1</v>
      </c>
      <c r="J465" s="31" t="n">
        <v>2500</v>
      </c>
      <c r="K465" s="31" t="n">
        <v>435</v>
      </c>
      <c r="L465" s="31" t="n">
        <v>155</v>
      </c>
      <c r="M465" s="31" t="n">
        <v>172</v>
      </c>
      <c r="N465" s="31" t="n">
        <v>20.8</v>
      </c>
      <c r="O465" s="31" t="n">
        <v>100</v>
      </c>
      <c r="P465" s="31" t="inlineStr">
        <is>
          <t>門別or南関</t>
        </is>
      </c>
      <c r="Q465" s="31" t="inlineStr">
        <is>
          <t>6戦2勝</t>
        </is>
      </c>
      <c r="R465" s="31" t="n">
        <v>0</v>
      </c>
      <c r="S465" s="31" t="n">
        <v>2</v>
      </c>
      <c r="T465" s="31" t="n">
        <v>0</v>
      </c>
      <c r="U465" s="31" t="n">
        <v>1062</v>
      </c>
      <c r="V465" s="31" t="n">
        <v>0.42</v>
      </c>
      <c r="W465" s="31" t="n">
        <v>0</v>
      </c>
      <c r="X465" s="31" t="inlineStr">
        <is>
          <t>25'2歳 新馬(新馬)サルビア特別--&gt;</t>
        </is>
      </c>
      <c r="Y465" s="31" t="n">
        <v>3</v>
      </c>
      <c r="Z465" s="31" t="inlineStr">
        <is>
          <t>牡・価格帯・420kg+</t>
        </is>
      </c>
    </row>
    <row r="466">
      <c r="A466" s="31" t="n">
        <v>2024</v>
      </c>
      <c r="B466" s="31" t="n">
        <v>94</v>
      </c>
      <c r="C466" s="31" t="inlineStr">
        <is>
          <t>ペニーウェディングの23</t>
        </is>
      </c>
      <c r="D466" s="31" t="inlineStr">
        <is>
          <t>ペニーファウンテン (Penny Fountain)</t>
        </is>
      </c>
      <c r="E466" s="31" t="inlineStr">
        <is>
          <t>クリソベリル</t>
        </is>
      </c>
      <c r="F466" s="31" t="inlineStr">
        <is>
          <t>メス</t>
        </is>
      </c>
      <c r="G466" s="31" t="n">
        <v>3</v>
      </c>
      <c r="H466" s="31" t="n">
        <v>10</v>
      </c>
      <c r="I466" s="31" t="n">
        <v>1</v>
      </c>
      <c r="J466" s="31" t="n">
        <v>2000</v>
      </c>
      <c r="K466" s="31" t="n">
        <v>441</v>
      </c>
      <c r="L466" s="31" t="n">
        <v>153</v>
      </c>
      <c r="M466" s="31" t="n">
        <v>172.5</v>
      </c>
      <c r="N466" s="31" t="n">
        <v>20.5</v>
      </c>
      <c r="O466" s="31" t="n">
        <v>100</v>
      </c>
      <c r="P466" s="31" t="inlineStr">
        <is>
          <t>門別or南関</t>
        </is>
      </c>
      <c r="Q466" s="31" t="inlineStr">
        <is>
          <t>6戦2勝</t>
        </is>
      </c>
      <c r="R466" s="31" t="n">
        <v>0</v>
      </c>
      <c r="S466" s="31" t="n">
        <v>2</v>
      </c>
      <c r="T466" s="31" t="n">
        <v>0</v>
      </c>
      <c r="U466" s="31" t="n">
        <v>497</v>
      </c>
      <c r="V466" s="31" t="n">
        <v>0.25</v>
      </c>
      <c r="W466" s="31" t="n">
        <v>0</v>
      </c>
      <c r="X466" s="31" t="inlineStr">
        <is>
          <t>3歳八 九3歳四 五六--&gt;</t>
        </is>
      </c>
      <c r="Y466" s="31" t="n">
        <v>1</v>
      </c>
      <c r="Z466" s="31" t="inlineStr">
        <is>
          <t>420kg+</t>
        </is>
      </c>
    </row>
    <row r="467">
      <c r="A467" s="31" t="n">
        <v>2024</v>
      </c>
      <c r="B467" s="31" t="n">
        <v>95</v>
      </c>
      <c r="C467" s="31" t="inlineStr">
        <is>
          <t>バイラオーラの23</t>
        </is>
      </c>
      <c r="D467" s="31" t="inlineStr">
        <is>
          <t>バイラノーチェ (Baila Noche)</t>
        </is>
      </c>
      <c r="E467" s="31" t="inlineStr">
        <is>
          <t>ニューイヤーズデイ</t>
        </is>
      </c>
      <c r="F467" s="31" t="inlineStr">
        <is>
          <t>メス</t>
        </is>
      </c>
      <c r="G467" s="31" t="n">
        <v>2</v>
      </c>
      <c r="H467" s="31" t="n">
        <v>17</v>
      </c>
      <c r="I467" s="31" t="n">
        <v>1</v>
      </c>
      <c r="J467" s="31" t="n">
        <v>2000</v>
      </c>
      <c r="K467" s="31" t="n">
        <v>430</v>
      </c>
      <c r="L467" s="31" t="n">
        <v>148.5</v>
      </c>
      <c r="M467" s="31" t="n">
        <v>171</v>
      </c>
      <c r="N467" s="31" t="n">
        <v>18.6</v>
      </c>
      <c r="O467" s="31" t="n">
        <v>100</v>
      </c>
      <c r="P467" s="31" t="inlineStr">
        <is>
          <t>門別or南関</t>
        </is>
      </c>
      <c r="Q467" s="31" t="inlineStr">
        <is>
          <t>4戦2勝</t>
        </is>
      </c>
      <c r="R467" s="31" t="n">
        <v>0</v>
      </c>
      <c r="S467" s="31" t="n">
        <v>2</v>
      </c>
      <c r="T467" s="31" t="n">
        <v>0</v>
      </c>
      <c r="U467" s="31" t="n">
        <v>1060</v>
      </c>
      <c r="V467" s="31" t="n">
        <v>0.53</v>
      </c>
      <c r="W467" s="31" t="n">
        <v>0</v>
      </c>
      <c r="X467" s="31" t="inlineStr">
        <is>
          <t>ハイビスカスデビュークラーベセクレタ・メモリアル--&gt;</t>
        </is>
      </c>
      <c r="Y467" s="31" t="n">
        <v>1</v>
      </c>
      <c r="Z467" s="31" t="inlineStr">
        <is>
          <t>420kg+</t>
        </is>
      </c>
    </row>
    <row r="468">
      <c r="A468" s="31" t="n">
        <v>2024</v>
      </c>
      <c r="B468" s="31" t="n">
        <v>96</v>
      </c>
      <c r="C468" s="31" t="inlineStr">
        <is>
          <t>シシリアンブリーズの23</t>
        </is>
      </c>
      <c r="D468" s="31" t="inlineStr">
        <is>
          <t>シシリアンマインド</t>
        </is>
      </c>
      <c r="E468" s="31" t="inlineStr">
        <is>
          <t>マインドユアビスケッツ</t>
        </is>
      </c>
      <c r="F468" s="31" t="inlineStr">
        <is>
          <t>メス</t>
        </is>
      </c>
      <c r="G468" s="31" t="n">
        <v>4</v>
      </c>
      <c r="H468" s="31" t="n">
        <v>15</v>
      </c>
      <c r="I468" s="31" t="n">
        <v>1</v>
      </c>
      <c r="J468" s="31" t="n">
        <v>1800</v>
      </c>
      <c r="K468" s="31" t="n">
        <v>400</v>
      </c>
      <c r="L468" s="31" t="n">
        <v>153</v>
      </c>
      <c r="M468" s="31" t="n">
        <v>169</v>
      </c>
      <c r="N468" s="31" t="n">
        <v>19.4</v>
      </c>
      <c r="O468" s="31" t="n">
        <v>100</v>
      </c>
      <c r="P468" s="31" t="inlineStr">
        <is>
          <t>門別or南関</t>
        </is>
      </c>
      <c r="Q468" s="31" t="inlineStr">
        <is>
          <t>8戦0勝</t>
        </is>
      </c>
      <c r="R468" s="31" t="n">
        <v>0</v>
      </c>
      <c r="S468" s="31" t="n">
        <v>0</v>
      </c>
      <c r="T468" s="31" t="n">
        <v>0</v>
      </c>
      <c r="U468" s="31" t="n">
        <v>116</v>
      </c>
      <c r="V468" s="31" t="n">
        <v>0.06</v>
      </c>
      <c r="W468" s="31" t="n">
        <v>0</v>
      </c>
      <c r="X468" s="31" t="inlineStr">
        <is>
          <t>--&gt;</t>
        </is>
      </c>
      <c r="Y468" s="31" t="n">
        <v>0</v>
      </c>
      <c r="Z468" s="31" t="inlineStr"/>
    </row>
  </sheetData>
  <autoFilter ref="A1:T277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2026-07-22T23:05:45Z</dcterms:created>
  <dcterms:modified xmlns:dcterms="http://purl.org/dc/terms/" xmlns:xsi="http://www.w3.org/2001/XMLSchema-instance" xsi:type="dcterms:W3CDTF">2026-08-21T21:59:21Z</dcterms:modified>
  <cp:revision>0</cp:revision>
</cp:coreProperties>
</file>